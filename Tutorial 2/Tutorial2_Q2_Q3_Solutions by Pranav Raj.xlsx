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_ActivatedCarbon" sheetId="1" r:id="rId5"/>
    <sheet state="visible" name="Q2_Silica" sheetId="2" r:id="rId6"/>
    <sheet state="visible" name="Q3_CO2_Toth" sheetId="3" r:id="rId7"/>
    <sheet state="visible" name="Q3_CO2_MSL" sheetId="4" r:id="rId8"/>
    <sheet state="visible" name="Q3_CH4_Toth" sheetId="5" r:id="rId9"/>
    <sheet state="visible" name="Q3_CH4_MSL" sheetId="6" r:id="rId10"/>
    <sheet state="visible" name="Summary" sheetId="7" r:id="rId11"/>
  </sheets>
  <definedNames/>
  <calcPr/>
</workbook>
</file>

<file path=xl/sharedStrings.xml><?xml version="1.0" encoding="utf-8"?>
<sst xmlns="http://schemas.openxmlformats.org/spreadsheetml/2006/main" count="260" uniqueCount="100">
  <si>
    <t>Q3 - Multi-site Langmuir, CO2 on zeolite 13X</t>
  </si>
  <si>
    <t>Model:  theta = q/qmax = K*p*(1-theta)^a  -  implicit in q, so it is regressed in the pressure direction:  theta = q_exp/qmax is known, hence p_calc = theta/(K*(1-theta)^a) is explicit.  Objective = SUM(ln p_calc - ln p_exp)^2.</t>
  </si>
  <si>
    <t>qmax is FIXED at the Toth saturation capacity - qmax and a are strongly correlated and an unconstrained Solver run drives a to unphysical values.  Solver variables: a and the three K.  The p = 0 point is excluded (ln 0).</t>
  </si>
  <si>
    <t>Parameters (Solver: By Changing Variable Cells)</t>
  </si>
  <si>
    <t>qmax  (mol/kg)  FIXED</t>
  </si>
  <si>
    <t>a  (-)</t>
  </si>
  <si>
    <t>K298  (1/MPa)</t>
  </si>
  <si>
    <t>K308  (1/MPa)</t>
  </si>
  <si>
    <t>K323  (1/MPa)</t>
  </si>
  <si>
    <t>T = 298 K</t>
  </si>
  <si>
    <t>T = 308 K</t>
  </si>
  <si>
    <t>T = 323 K</t>
  </si>
  <si>
    <t>p_exp (MPa)</t>
  </si>
  <si>
    <t>q_exp</t>
  </si>
  <si>
    <t>theta</t>
  </si>
  <si>
    <t>p_calc</t>
  </si>
  <si>
    <t>ln resid</t>
  </si>
  <si>
    <t>sq</t>
  </si>
  <si>
    <t>Q2 - Langmuir isotherm, CO2 on ActivatedCarbon at 25 °C</t>
  </si>
  <si>
    <t>Model:  q = qmax*K*p/(1+K*p).   Yellow = Solver variables, green = objective (minimise SSE).  Solver: GRG Nonlinear, Min, variables qmax &amp; K, both &gt;= 0.</t>
  </si>
  <si>
    <t>qmax  (mmol/g)</t>
  </si>
  <si>
    <t>&lt;- maximum adsorbate loading</t>
  </si>
  <si>
    <t>K  (1/mmHg)</t>
  </si>
  <si>
    <t>&lt;- adsorption equilibrium constant</t>
  </si>
  <si>
    <t>p (mmHg)</t>
  </si>
  <si>
    <t>q_exp (mmol/g)</t>
  </si>
  <si>
    <t>q_calc (mmol/g)</t>
  </si>
  <si>
    <t>residual</t>
  </si>
  <si>
    <t>residual^2</t>
  </si>
  <si>
    <t>p/q</t>
  </si>
  <si>
    <t>SSE(ln p) 298 K</t>
  </si>
  <si>
    <t>SSE(ln p) 308 K</t>
  </si>
  <si>
    <t>SSE(ln p) 323 K</t>
  </si>
  <si>
    <t>TOTAL SSE  (Solver objective -&gt; Min)</t>
  </si>
  <si>
    <t>R^2 in q (from Python check)</t>
  </si>
  <si>
    <t>van 't Hoff:  ln K = ln K0 - dHads/(R*T)</t>
  </si>
  <si>
    <t>T (K)</t>
  </si>
  <si>
    <t>K (1/MPa)</t>
  </si>
  <si>
    <t>1/T (1/K)</t>
  </si>
  <si>
    <t>ln K</t>
  </si>
  <si>
    <t>SSE  (Solver: Set Objective -&gt; Min)</t>
  </si>
  <si>
    <t>slope = -dHads/R</t>
  </si>
  <si>
    <t>SST</t>
  </si>
  <si>
    <t>R^2  = 1 - SSE/SST</t>
  </si>
  <si>
    <t>RMSE</t>
  </si>
  <si>
    <t>R^2 of van 't Hoff line</t>
  </si>
  <si>
    <t>Linearised check:  p/q = 1/(qmax*K) + p/qmax</t>
  </si>
  <si>
    <t>slope = 1/qmax</t>
  </si>
  <si>
    <t>R (J/mol/K)</t>
  </si>
  <si>
    <t>dHads  (kJ/mol)</t>
  </si>
  <si>
    <t>intercept = 1/(qmax*K)</t>
  </si>
  <si>
    <t>qmax (linear)</t>
  </si>
  <si>
    <t>&lt;- -68.3 kJ/mol</t>
  </si>
  <si>
    <t>K (linear)</t>
  </si>
  <si>
    <t>Q2 - Langmuir isotherm, CO2 on Silica at 25 °C</t>
  </si>
  <si>
    <t>Q3 - Multi-site Langmuir, CH4 on zeolite 13X</t>
  </si>
  <si>
    <t>Q3 - Toth isotherm, CO2 on zeolite 13X</t>
  </si>
  <si>
    <t>Model:  q = qmax*K*p / [1+(K*p)^n]^(1/n).   qmax and n are shared by all three isotherms (temperature-independent); one K per temperature.  Solver: GRG Nonlinear, Min total SSE, variables qmax, n, K298, K308, K323 (all &gt;= 0).</t>
  </si>
  <si>
    <t>qmax  (mol/kg)</t>
  </si>
  <si>
    <t>n  (-)</t>
  </si>
  <si>
    <t>P (MPa)</t>
  </si>
  <si>
    <t>q_calc</t>
  </si>
  <si>
    <t>resid</t>
  </si>
  <si>
    <t>resid^2</t>
  </si>
  <si>
    <t>Tutorial 2 (CL24303, MO2026) - Q2 &amp; Q3 regression results</t>
  </si>
  <si>
    <t>All numbers below are the converged Solver values reproduced on the individual sheets.  Yellow cells = Solver variables, green cell = Solver objective.</t>
  </si>
  <si>
    <t>Q2 - Langmuir,  q = qmax*K*p/(1+K*p),  CO2 at 25 °C</t>
  </si>
  <si>
    <t>Adsorbent</t>
  </si>
  <si>
    <t>qmax (mmol/g)</t>
  </si>
  <si>
    <t>K (1/mmHg)</t>
  </si>
  <si>
    <t>R^2</t>
  </si>
  <si>
    <t>AARD %</t>
  </si>
  <si>
    <t>Q3 - Toth isotherm, CH4 on zeolite 13X</t>
  </si>
  <si>
    <t>Activated carbon</t>
  </si>
  <si>
    <t>Silica gel</t>
  </si>
  <si>
    <t>Q3 - Toth,  q = qmax*K*p/[1+(K*p)^n]^(1/n),  zeolite 13X</t>
  </si>
  <si>
    <t>Gas</t>
  </si>
  <si>
    <t>qmax (mol/kg)</t>
  </si>
  <si>
    <t>n (-)</t>
  </si>
  <si>
    <t>K298</t>
  </si>
  <si>
    <t>K308</t>
  </si>
  <si>
    <t>K323</t>
  </si>
  <si>
    <t>dHads (kJ/mol)</t>
  </si>
  <si>
    <t>CO2</t>
  </si>
  <si>
    <t>CH4</t>
  </si>
  <si>
    <t>Q3 - Multi-site Langmuir,  theta = K*p*(1-theta)^a,  zeolite 13X</t>
  </si>
  <si>
    <t>a (-)</t>
  </si>
  <si>
    <t>How to re-run in Excel:  Data -&gt; Solver.  Set Objective = the green SSE cell, To: Min, By Changing = the yellow parameter cells, Method = GRG Nonlinear, tick 'Make Unconstrained Variables Non-Negative', then Solve.</t>
  </si>
  <si>
    <t>Q2: Langmuir describes silica gel well (R^2 = 0.9978) but fits activated carbon poorly (R^2 = 0.948) - the carbon isotherm is energetically heterogeneous and needs a Toth/Freundlich form.</t>
  </si>
  <si>
    <t>Q3: |dHads| for CO2 (~65 kJ/mol) is about 4.2 x that of CH4 (~16 kJ/mol) - the quadrupolar CO2 interacts far more strongly with the Na+ cations of 13X, which is why 13X separates CO2 from CH4.</t>
  </si>
  <si>
    <t>SSE 298 K</t>
  </si>
  <si>
    <t>SSE 308 K</t>
  </si>
  <si>
    <t>SSE 323 K</t>
  </si>
  <si>
    <t>R^2 298 K</t>
  </si>
  <si>
    <t>R^2 308 K</t>
  </si>
  <si>
    <t>R^2 323 K</t>
  </si>
  <si>
    <t>intercept = ln K0</t>
  </si>
  <si>
    <t>&lt;- exothermic, -65.2 kJ/mol</t>
  </si>
  <si>
    <t>&lt;- -16.4 kJ/mol</t>
  </si>
  <si>
    <t>&lt;- exothermic, -15.6 kJ/mol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</si>
</sst>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00"/>
    <numFmt numFmtId="165" formatCode="0.00000"/>
    <numFmt numFmtId="166" formatCode="0.000"/>
    <numFmt numFmtId="167" formatCode="0.0000"/>
    <numFmt numFmtId="168" formatCode="0.0"/>
    <numFmt numFmtId="169" formatCode="0.00000000"/>
  </numFmts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i/>
      <sz val="9.0"/>
      <color rgb="FF555555"/>
      <name val="Calibri"/>
      <scheme val="minor"/>
    </font>
    <font>
      <b/>
      <color theme="1"/>
      <name val="Calibri"/>
      <scheme val="minor"/>
    </font>
    <font>
      <b/>
      <sz val="10.0"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0E0E0"/>
        <bgColor rgb="FFE0E0E0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2" fillId="3" fontId="2" numFmtId="164" xfId="0" applyBorder="1" applyFill="1" applyFont="1" applyNumberFormat="1"/>
    <xf borderId="2" fillId="4" fontId="2" numFmtId="164" xfId="0" applyBorder="1" applyFill="1" applyFont="1" applyNumberFormat="1"/>
    <xf borderId="1" fillId="5" fontId="4" numFmtId="0" xfId="0" applyBorder="1" applyFill="1" applyFont="1"/>
    <xf borderId="2" fillId="5" fontId="5" numFmtId="0" xfId="0" applyBorder="1" applyFill="1" applyFont="1"/>
    <xf borderId="2" fillId="0" fontId="2" numFmtId="165" xfId="0" applyBorder="1" applyFont="1" applyNumberFormat="1"/>
    <xf borderId="2" fillId="0" fontId="2" numFmtId="166" xfId="0" applyBorder="1" applyFont="1" applyNumberFormat="1"/>
    <xf borderId="2" fillId="0" fontId="2" numFmtId="167" xfId="0" applyBorder="1" applyFont="1" applyNumberFormat="1"/>
    <xf borderId="2" fillId="0" fontId="2" numFmtId="11" xfId="0" applyBorder="1" applyFont="1" applyNumberFormat="1"/>
    <xf borderId="1" fillId="5" fontId="5" numFmtId="0" xfId="0" applyBorder="1" applyFill="1" applyFont="1"/>
    <xf borderId="2" fillId="0" fontId="2" numFmtId="168" xfId="0" applyBorder="1" applyFont="1" applyNumberFormat="1"/>
    <xf borderId="0" fillId="0" fontId="2" numFmtId="166" xfId="0" applyFont="1" applyNumberFormat="1"/>
    <xf borderId="0" fillId="0" fontId="2" numFmtId="165" xfId="0" applyFont="1" applyNumberFormat="1"/>
    <xf borderId="2" fillId="6" fontId="2" numFmtId="165" xfId="0" applyBorder="1" applyFill="1" applyFont="1" applyNumberFormat="1"/>
    <xf borderId="0" fillId="0" fontId="6" numFmtId="0" xfId="0" applyFont="1"/>
    <xf borderId="2" fillId="0" fontId="2" numFmtId="0" xfId="0" applyBorder="1" applyFont="1"/>
    <xf borderId="2" fillId="0" fontId="2" numFmtId="169" xfId="0" applyBorder="1" applyFont="1" applyNumberFormat="1"/>
    <xf borderId="2" fillId="6" fontId="2" numFmtId="164" xfId="0" applyBorder="1" applyFill="1" applyFont="1" applyNumberFormat="1"/>
    <xf borderId="0" fillId="0" fontId="2" numFmtId="164" xfId="0" applyFont="1" applyNumberFormat="1"/>
    <xf borderId="0" fillId="0" fontId="2" numFmtId="2" xfId="0" applyFont="1" applyNumberFormat="1"/>
    <xf borderId="2" fillId="6" fontId="2" numFmtId="2" xfId="0" applyBorder="1" applyFill="1" applyFont="1" applyNumberFormat="1"/>
    <xf borderId="0" fillId="0" fontId="2" numFmtId="167" xfId="0" applyFont="1" applyNumberFormat="1"/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CO2 on carbon - Langmuir 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Q2_ActivatedCarbon!$A$10:$A$24</c:f>
            </c:numRef>
          </c:xVal>
          <c:yVal>
            <c:numRef>
              <c:f>Q2_ActivatedCarbon!$B$9:$B$24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Q2_ActivatedCarbon!$A$10:$A$24</c:f>
            </c:numRef>
          </c:xVal>
          <c:yVal>
            <c:numRef>
              <c:f>Q2_ActivatedCarbon!$C$9:$C$24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90094"/>
        <c:axId val="746851181"/>
      </c:scatterChart>
      <c:valAx>
        <c:axId val="1171690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(mmHg)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851181"/>
      </c:valAx>
      <c:valAx>
        <c:axId val="746851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(mmol/g)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690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CO2 on silica - Langmuir 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Q2_Silica!$A$10:$A$22</c:f>
            </c:numRef>
          </c:xVal>
          <c:yVal>
            <c:numRef>
              <c:f>Q2_Silica!$B$9:$B$22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Q2_Silica!$A$10:$A$22</c:f>
            </c:numRef>
          </c:xVal>
          <c:yVal>
            <c:numRef>
              <c:f>Q2_Silica!$C$9:$C$22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712199"/>
        <c:axId val="1865230048"/>
      </c:scatterChart>
      <c:valAx>
        <c:axId val="1316712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(mmHg)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230048"/>
      </c:valAx>
      <c:valAx>
        <c:axId val="1865230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(mmol/g)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712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CO2 @ 298 K (Toth)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Q3_CO2_Toth!$A$13:$A$27</c:f>
            </c:numRef>
          </c:xVal>
          <c:yVal>
            <c:numRef>
              <c:f>Q3_CO2_Toth!$B$12:$B$27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Q3_CO2_Toth!$A$13:$A$27</c:f>
            </c:numRef>
          </c:xVal>
          <c:yVal>
            <c:numRef>
              <c:f>Q3_CO2_Toth!$C$12:$C$27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834031"/>
        <c:axId val="1937277839"/>
      </c:scatterChart>
      <c:valAx>
        <c:axId val="89683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277839"/>
      </c:valAx>
      <c:valAx>
        <c:axId val="1937277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(mol/kg)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834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CO2 @ 308 K (Toth)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Q3_CO2_Toth!$F$13:$F$39</c:f>
            </c:numRef>
          </c:xVal>
          <c:yVal>
            <c:numRef>
              <c:f>Q3_CO2_Toth!$G$12:$G$39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Q3_CO2_Toth!$F$13:$F$39</c:f>
            </c:numRef>
          </c:xVal>
          <c:yVal>
            <c:numRef>
              <c:f>Q3_CO2_Toth!$H$12:$H$39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056751"/>
        <c:axId val="1624284985"/>
      </c:scatterChart>
      <c:valAx>
        <c:axId val="161705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284985"/>
      </c:valAx>
      <c:valAx>
        <c:axId val="1624284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(mol/kg)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056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CO2 @ 323 K (Toth)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Q3_CO2_Toth!$K$13:$K$33</c:f>
            </c:numRef>
          </c:xVal>
          <c:yVal>
            <c:numRef>
              <c:f>Q3_CO2_Toth!$L$12:$L$33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Q3_CO2_Toth!$K$13:$K$33</c:f>
            </c:numRef>
          </c:xVal>
          <c:yVal>
            <c:numRef>
              <c:f>Q3_CO2_Toth!$M$12:$M$33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156617"/>
        <c:axId val="373136458"/>
      </c:scatterChart>
      <c:valAx>
        <c:axId val="989156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136458"/>
      </c:valAx>
      <c:valAx>
        <c:axId val="373136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(mol/kg)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156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CH4 @ 298 K (Toth)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Q3_CH4_Toth!$A$13:$A$39</c:f>
            </c:numRef>
          </c:xVal>
          <c:yVal>
            <c:numRef>
              <c:f>Q3_CH4_Toth!$B$12:$B$39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Q3_CH4_Toth!$A$13:$A$39</c:f>
            </c:numRef>
          </c:xVal>
          <c:yVal>
            <c:numRef>
              <c:f>Q3_CH4_Toth!$C$12:$C$39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228227"/>
        <c:axId val="870033776"/>
      </c:scatterChart>
      <c:valAx>
        <c:axId val="518228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033776"/>
      </c:valAx>
      <c:valAx>
        <c:axId val="870033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(mol/kg)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228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CH4 @ 308 K (Toth)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Q3_CH4_Toth!$F$13:$F$42</c:f>
            </c:numRef>
          </c:xVal>
          <c:yVal>
            <c:numRef>
              <c:f>Q3_CH4_Toth!$G$12:$G$42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Q3_CH4_Toth!$F$13:$F$42</c:f>
            </c:numRef>
          </c:xVal>
          <c:yVal>
            <c:numRef>
              <c:f>Q3_CH4_Toth!$H$12:$H$42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902744"/>
        <c:axId val="2123395847"/>
      </c:scatterChart>
      <c:valAx>
        <c:axId val="267902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395847"/>
      </c:valAx>
      <c:valAx>
        <c:axId val="2123395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(mol/kg)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902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CH4 @ 323 K (Toth)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Q3_CH4_Toth!$K$13:$K$45</c:f>
            </c:numRef>
          </c:xVal>
          <c:yVal>
            <c:numRef>
              <c:f>Q3_CH4_Toth!$L$12:$L$45</c:f>
              <c:numCache/>
            </c:numRef>
          </c:yVal>
        </c:ser>
        <c:ser>
          <c:idx val="1"/>
          <c:order val="1"/>
          <c:tx>
            <c:v>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Q3_CH4_Toth!$K$13:$K$45</c:f>
            </c:numRef>
          </c:xVal>
          <c:yVal>
            <c:numRef>
              <c:f>Q3_CH4_Toth!$M$12:$M$45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02384"/>
        <c:axId val="1459396927"/>
      </c:scatterChart>
      <c:valAx>
        <c:axId val="12660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396927"/>
      </c:valAx>
      <c:valAx>
        <c:axId val="1459396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 (mol/kg)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02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5038725" cy="3057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5038725" cy="30575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3</xdr:row>
      <xdr:rowOff>0</xdr:rowOff>
    </xdr:from>
    <xdr:ext cx="5038725" cy="30575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0</xdr:colOff>
      <xdr:row>3</xdr:row>
      <xdr:rowOff>0</xdr:rowOff>
    </xdr:from>
    <xdr:ext cx="5038725" cy="30575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0</xdr:colOff>
      <xdr:row>3</xdr:row>
      <xdr:rowOff>0</xdr:rowOff>
    </xdr:from>
    <xdr:ext cx="5038725" cy="30575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3</xdr:row>
      <xdr:rowOff>0</xdr:rowOff>
    </xdr:from>
    <xdr:ext cx="5038725" cy="30575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0</xdr:colOff>
      <xdr:row>3</xdr:row>
      <xdr:rowOff>0</xdr:rowOff>
    </xdr:from>
    <xdr:ext cx="5038725" cy="30575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0</xdr:colOff>
      <xdr:row>3</xdr:row>
      <xdr:rowOff>0</xdr:rowOff>
    </xdr:from>
    <xdr:ext cx="5038725" cy="30575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6" width="14.0"/>
    <col customWidth="1" min="7" max="26" width="8.71"/>
  </cols>
  <sheetData>
    <row r="1" ht="21.75" customHeight="1">
      <c r="A1" s="1" t="s">
        <v>18</v>
      </c>
      <c r="B1" s="2"/>
      <c r="C1" s="2"/>
      <c r="D1" s="2"/>
      <c r="E1" s="2"/>
      <c r="F1" s="2"/>
    </row>
    <row r="2">
      <c r="A2" s="3" t="s">
        <v>19</v>
      </c>
    </row>
    <row r="4">
      <c r="A4" s="4" t="s">
        <v>3</v>
      </c>
    </row>
    <row r="5">
      <c r="A5" s="5" t="s">
        <v>20</v>
      </c>
      <c r="B5" s="7">
        <v>2.63037178</v>
      </c>
      <c r="C5" s="3" t="s">
        <v>21</v>
      </c>
    </row>
    <row r="6">
      <c r="A6" s="5" t="s">
        <v>22</v>
      </c>
      <c r="B6" s="7">
        <v>0.01449575</v>
      </c>
      <c r="C6" s="3" t="s">
        <v>23</v>
      </c>
    </row>
    <row r="9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9" t="s">
        <v>14</v>
      </c>
      <c r="G9" s="14" t="s">
        <v>29</v>
      </c>
    </row>
    <row r="10">
      <c r="A10" s="15">
        <v>15.7</v>
      </c>
      <c r="B10" s="12">
        <v>0.791</v>
      </c>
      <c r="C10" s="12">
        <f t="shared" ref="C10:C24" si="1">$B$5*$B$6*A10/(1+$B$6*A10)</f>
        <v>0.4876480776</v>
      </c>
      <c r="D10" s="12">
        <f t="shared" ref="D10:D24" si="2">C10-B10</f>
        <v>-0.3033519224</v>
      </c>
      <c r="E10" s="13">
        <f t="shared" ref="E10:E24" si="3">D10^2</f>
        <v>0.09202238882</v>
      </c>
      <c r="F10" s="12">
        <f t="shared" ref="F10:F24" si="4">C10/$B$5</f>
        <v>0.1853913129</v>
      </c>
      <c r="G10" s="16">
        <f t="shared" ref="G10:G24" si="5">A10/B10</f>
        <v>19.8482933</v>
      </c>
    </row>
    <row r="11">
      <c r="A11" s="15">
        <v>44.0</v>
      </c>
      <c r="B11" s="12">
        <v>1.141</v>
      </c>
      <c r="C11" s="12">
        <f t="shared" si="1"/>
        <v>1.024344853</v>
      </c>
      <c r="D11" s="12">
        <f t="shared" si="2"/>
        <v>-0.1166551474</v>
      </c>
      <c r="E11" s="13">
        <f t="shared" si="3"/>
        <v>0.01360842341</v>
      </c>
      <c r="F11" s="12">
        <f t="shared" si="4"/>
        <v>0.3894296846</v>
      </c>
      <c r="G11" s="16">
        <f t="shared" si="5"/>
        <v>38.56266433</v>
      </c>
    </row>
    <row r="12">
      <c r="A12" s="15">
        <v>54.2</v>
      </c>
      <c r="B12" s="12">
        <v>1.223</v>
      </c>
      <c r="C12" s="12">
        <f t="shared" si="1"/>
        <v>1.157326763</v>
      </c>
      <c r="D12" s="12">
        <f t="shared" si="2"/>
        <v>-0.06567323703</v>
      </c>
      <c r="E12" s="13">
        <f t="shared" si="3"/>
        <v>0.004312974062</v>
      </c>
      <c r="F12" s="12">
        <f t="shared" si="4"/>
        <v>0.4399860019</v>
      </c>
      <c r="G12" s="16">
        <f t="shared" si="5"/>
        <v>44.31725266</v>
      </c>
    </row>
    <row r="13">
      <c r="A13" s="15">
        <v>84.0</v>
      </c>
      <c r="B13" s="12">
        <v>1.416</v>
      </c>
      <c r="C13" s="12">
        <f t="shared" si="1"/>
        <v>1.444260318</v>
      </c>
      <c r="D13" s="12">
        <f t="shared" si="2"/>
        <v>0.02826031842</v>
      </c>
      <c r="E13" s="13">
        <f t="shared" si="3"/>
        <v>0.000798645597</v>
      </c>
      <c r="F13" s="12">
        <f t="shared" si="4"/>
        <v>0.5490707927</v>
      </c>
      <c r="G13" s="16">
        <f t="shared" si="5"/>
        <v>59.3220339</v>
      </c>
    </row>
    <row r="14">
      <c r="A14" s="15">
        <v>107.0</v>
      </c>
      <c r="B14" s="12">
        <v>1.532</v>
      </c>
      <c r="C14" s="12">
        <f t="shared" si="1"/>
        <v>1.599276083</v>
      </c>
      <c r="D14" s="12">
        <f t="shared" si="2"/>
        <v>0.06727608305</v>
      </c>
      <c r="E14" s="13">
        <f t="shared" si="3"/>
        <v>0.004526071351</v>
      </c>
      <c r="F14" s="12">
        <f t="shared" si="4"/>
        <v>0.6080038173</v>
      </c>
      <c r="G14" s="16">
        <f t="shared" si="5"/>
        <v>69.84334204</v>
      </c>
    </row>
    <row r="15">
      <c r="A15" s="15">
        <v>139.0</v>
      </c>
      <c r="B15" s="12">
        <v>1.646</v>
      </c>
      <c r="C15" s="12">
        <f t="shared" si="1"/>
        <v>1.757917068</v>
      </c>
      <c r="D15" s="12">
        <f t="shared" si="2"/>
        <v>0.1119170685</v>
      </c>
      <c r="E15" s="13">
        <f t="shared" si="3"/>
        <v>0.01252543021</v>
      </c>
      <c r="F15" s="12">
        <f t="shared" si="4"/>
        <v>0.6683150579</v>
      </c>
      <c r="G15" s="16">
        <f t="shared" si="5"/>
        <v>84.44714459</v>
      </c>
    </row>
    <row r="16">
      <c r="A16" s="15">
        <v>177.0</v>
      </c>
      <c r="B16" s="12">
        <v>1.769</v>
      </c>
      <c r="C16" s="12">
        <f t="shared" si="1"/>
        <v>1.89269431</v>
      </c>
      <c r="D16" s="12">
        <f t="shared" si="2"/>
        <v>0.1236943097</v>
      </c>
      <c r="E16" s="13">
        <f t="shared" si="3"/>
        <v>0.01530028225</v>
      </c>
      <c r="F16" s="12">
        <f t="shared" si="4"/>
        <v>0.719553914</v>
      </c>
      <c r="G16" s="16">
        <f t="shared" si="5"/>
        <v>100.0565291</v>
      </c>
    </row>
    <row r="17">
      <c r="A17" s="15">
        <v>215.5</v>
      </c>
      <c r="B17" s="12">
        <v>1.872</v>
      </c>
      <c r="C17" s="12">
        <f t="shared" si="1"/>
        <v>1.992525615</v>
      </c>
      <c r="D17" s="12">
        <f t="shared" si="2"/>
        <v>0.1205256154</v>
      </c>
      <c r="E17" s="13">
        <f t="shared" si="3"/>
        <v>0.01452642397</v>
      </c>
      <c r="F17" s="12">
        <f t="shared" si="4"/>
        <v>0.7575072203</v>
      </c>
      <c r="G17" s="16">
        <f t="shared" si="5"/>
        <v>115.1175214</v>
      </c>
    </row>
    <row r="18">
      <c r="A18" s="15">
        <v>278.0</v>
      </c>
      <c r="B18" s="12">
        <v>2.006</v>
      </c>
      <c r="C18" s="12">
        <f t="shared" si="1"/>
        <v>2.107416174</v>
      </c>
      <c r="D18" s="12">
        <f t="shared" si="2"/>
        <v>0.1014161743</v>
      </c>
      <c r="E18" s="13">
        <f t="shared" si="3"/>
        <v>0.01028524042</v>
      </c>
      <c r="F18" s="12">
        <f t="shared" si="4"/>
        <v>0.801185669</v>
      </c>
      <c r="G18" s="16">
        <f t="shared" si="5"/>
        <v>138.5842473</v>
      </c>
    </row>
    <row r="19">
      <c r="A19" s="15">
        <v>331.5</v>
      </c>
      <c r="B19" s="12">
        <v>2.105</v>
      </c>
      <c r="C19" s="12">
        <f t="shared" si="1"/>
        <v>2.177276652</v>
      </c>
      <c r="D19" s="12">
        <f t="shared" si="2"/>
        <v>0.07227665202</v>
      </c>
      <c r="E19" s="13">
        <f t="shared" si="3"/>
        <v>0.005223914427</v>
      </c>
      <c r="F19" s="12">
        <f t="shared" si="4"/>
        <v>0.8277448339</v>
      </c>
      <c r="G19" s="16">
        <f t="shared" si="5"/>
        <v>157.4821853</v>
      </c>
    </row>
    <row r="20">
      <c r="A20" s="15">
        <v>429.5</v>
      </c>
      <c r="B20" s="12">
        <v>2.254</v>
      </c>
      <c r="C20" s="12">
        <f t="shared" si="1"/>
        <v>2.266353067</v>
      </c>
      <c r="D20" s="12">
        <f t="shared" si="2"/>
        <v>0.01235306731</v>
      </c>
      <c r="E20" s="13">
        <f t="shared" si="3"/>
        <v>0.0001525982719</v>
      </c>
      <c r="F20" s="12">
        <f t="shared" si="4"/>
        <v>0.8616094061</v>
      </c>
      <c r="G20" s="16">
        <f t="shared" si="5"/>
        <v>190.5501331</v>
      </c>
    </row>
    <row r="21" ht="15.75" customHeight="1">
      <c r="A21" s="15">
        <v>536.0</v>
      </c>
      <c r="B21" s="12">
        <v>2.373</v>
      </c>
      <c r="C21" s="12">
        <f t="shared" si="1"/>
        <v>2.330433905</v>
      </c>
      <c r="D21" s="12">
        <f t="shared" si="2"/>
        <v>-0.04256609488</v>
      </c>
      <c r="E21" s="13">
        <f t="shared" si="3"/>
        <v>0.001811872434</v>
      </c>
      <c r="F21" s="12">
        <f t="shared" si="4"/>
        <v>0.8859712999</v>
      </c>
      <c r="G21" s="16">
        <f t="shared" si="5"/>
        <v>225.8744206</v>
      </c>
    </row>
    <row r="22" ht="15.75" customHeight="1">
      <c r="A22" s="15">
        <v>585.7</v>
      </c>
      <c r="B22" s="12">
        <v>2.454</v>
      </c>
      <c r="C22" s="12">
        <f t="shared" si="1"/>
        <v>2.353203475</v>
      </c>
      <c r="D22" s="12">
        <f t="shared" si="2"/>
        <v>-0.1007965254</v>
      </c>
      <c r="E22" s="13">
        <f t="shared" si="3"/>
        <v>0.01015993953</v>
      </c>
      <c r="F22" s="12">
        <f t="shared" si="4"/>
        <v>0.8946277072</v>
      </c>
      <c r="G22" s="16">
        <f t="shared" si="5"/>
        <v>238.6715566</v>
      </c>
    </row>
    <row r="23" ht="15.75" customHeight="1">
      <c r="A23" s="15">
        <v>640.7</v>
      </c>
      <c r="B23" s="12">
        <v>2.479</v>
      </c>
      <c r="C23" s="12">
        <f t="shared" si="1"/>
        <v>2.374683767</v>
      </c>
      <c r="D23" s="12">
        <f t="shared" si="2"/>
        <v>-0.1043162335</v>
      </c>
      <c r="E23" s="13">
        <f t="shared" si="3"/>
        <v>0.01088187657</v>
      </c>
      <c r="F23" s="12">
        <f t="shared" si="4"/>
        <v>0.9027939642</v>
      </c>
      <c r="G23" s="16">
        <f t="shared" si="5"/>
        <v>258.4509883</v>
      </c>
    </row>
    <row r="24" ht="15.75" customHeight="1">
      <c r="A24" s="15">
        <v>680.2</v>
      </c>
      <c r="B24" s="12">
        <v>2.51</v>
      </c>
      <c r="C24" s="12">
        <f t="shared" si="1"/>
        <v>2.388164638</v>
      </c>
      <c r="D24" s="12">
        <f t="shared" si="2"/>
        <v>-0.1218353622</v>
      </c>
      <c r="E24" s="13">
        <f t="shared" si="3"/>
        <v>0.01484385547</v>
      </c>
      <c r="F24" s="12">
        <f t="shared" si="4"/>
        <v>0.9079190463</v>
      </c>
      <c r="G24" s="16">
        <f t="shared" si="5"/>
        <v>270.9960159</v>
      </c>
    </row>
    <row r="25" ht="15.75" customHeight="1"/>
    <row r="26" ht="15.75" customHeight="1">
      <c r="A26" s="4" t="s">
        <v>40</v>
      </c>
      <c r="B26" s="22">
        <f>SUM(E10:E24)</f>
        <v>0.2109799368</v>
      </c>
    </row>
    <row r="27" ht="15.75" customHeight="1">
      <c r="A27" s="5" t="s">
        <v>42</v>
      </c>
      <c r="B27" s="23">
        <f>DEVSQ(B10:B24)</f>
        <v>4.075458933</v>
      </c>
    </row>
    <row r="28" ht="15.75" customHeight="1">
      <c r="A28" s="5" t="s">
        <v>43</v>
      </c>
      <c r="B28" s="17">
        <f>1-B26/B27</f>
        <v>0.9482316126</v>
      </c>
    </row>
    <row r="29" ht="15.75" customHeight="1">
      <c r="A29" s="5" t="s">
        <v>44</v>
      </c>
      <c r="B29" s="17">
        <f>SQRT(B26/15)</f>
        <v>0.1185973403</v>
      </c>
    </row>
    <row r="30" ht="15.75" customHeight="1">
      <c r="A30" s="5"/>
      <c r="B30" s="24"/>
      <c r="C30" s="3"/>
    </row>
    <row r="31" ht="15.75" customHeight="1"/>
    <row r="32" ht="15.75" customHeight="1">
      <c r="A32" s="4" t="s">
        <v>46</v>
      </c>
    </row>
    <row r="33" ht="15.75" customHeight="1">
      <c r="A33" s="5" t="s">
        <v>47</v>
      </c>
      <c r="B33" s="23">
        <f>SLOPE(G10:G24,A10:A24)</f>
        <v>0.3656069697</v>
      </c>
    </row>
    <row r="34" ht="15.75" customHeight="1">
      <c r="A34" s="5" t="s">
        <v>50</v>
      </c>
      <c r="B34" s="23">
        <f>INTERCEPT(G10:G24,A10:A24)</f>
        <v>28.89556222</v>
      </c>
    </row>
    <row r="35" ht="15.75" customHeight="1">
      <c r="A35" s="5" t="s">
        <v>51</v>
      </c>
      <c r="B35" s="26">
        <f>1/B33</f>
        <v>2.735177617</v>
      </c>
    </row>
    <row r="36" ht="15.75" customHeight="1">
      <c r="A36" s="5" t="s">
        <v>53</v>
      </c>
      <c r="B36" s="23">
        <f>B33/B34</f>
        <v>0.0126527031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6" width="14.0"/>
    <col customWidth="1" min="7" max="26" width="8.71"/>
  </cols>
  <sheetData>
    <row r="1" ht="21.75" customHeight="1">
      <c r="A1" s="1" t="s">
        <v>54</v>
      </c>
      <c r="B1" s="2"/>
      <c r="C1" s="2"/>
      <c r="D1" s="2"/>
      <c r="E1" s="2"/>
      <c r="F1" s="2"/>
    </row>
    <row r="2">
      <c r="A2" s="3" t="s">
        <v>19</v>
      </c>
    </row>
    <row r="4">
      <c r="A4" s="4" t="s">
        <v>3</v>
      </c>
    </row>
    <row r="5">
      <c r="A5" s="5" t="s">
        <v>20</v>
      </c>
      <c r="B5" s="7">
        <v>2.97143748</v>
      </c>
      <c r="C5" s="3" t="s">
        <v>21</v>
      </c>
    </row>
    <row r="6">
      <c r="A6" s="5" t="s">
        <v>22</v>
      </c>
      <c r="B6" s="7">
        <v>0.00136833</v>
      </c>
      <c r="C6" s="3" t="s">
        <v>23</v>
      </c>
    </row>
    <row r="9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9" t="s">
        <v>14</v>
      </c>
      <c r="G9" s="14" t="s">
        <v>29</v>
      </c>
    </row>
    <row r="10">
      <c r="A10" s="15">
        <v>11.1</v>
      </c>
      <c r="B10" s="12">
        <v>0.0564</v>
      </c>
      <c r="C10" s="12">
        <f t="shared" ref="C10:C22" si="1">$B$5*$B$6*A10/(1+$B$6*A10)</f>
        <v>0.04445634468</v>
      </c>
      <c r="D10" s="12">
        <f t="shared" ref="D10:D22" si="2">C10-B10</f>
        <v>-0.01194365532</v>
      </c>
      <c r="E10" s="13">
        <f t="shared" ref="E10:E22" si="3">D10^2</f>
        <v>0.0001426509025</v>
      </c>
      <c r="F10" s="12">
        <f t="shared" ref="F10:F22" si="4">C10/$B$5</f>
        <v>0.01496122499</v>
      </c>
      <c r="G10" s="16">
        <f t="shared" ref="G10:G22" si="5">A10/B10</f>
        <v>196.8085106</v>
      </c>
    </row>
    <row r="11">
      <c r="A11" s="15">
        <v>25.0</v>
      </c>
      <c r="B11" s="12">
        <v>0.1252</v>
      </c>
      <c r="C11" s="12">
        <f t="shared" si="1"/>
        <v>0.09828550118</v>
      </c>
      <c r="D11" s="12">
        <f t="shared" si="2"/>
        <v>-0.02691449882</v>
      </c>
      <c r="E11" s="13">
        <f t="shared" si="3"/>
        <v>0.0007243902468</v>
      </c>
      <c r="F11" s="12">
        <f t="shared" si="4"/>
        <v>0.03307675219</v>
      </c>
      <c r="G11" s="16">
        <f t="shared" si="5"/>
        <v>199.6805112</v>
      </c>
    </row>
    <row r="12">
      <c r="A12" s="15">
        <v>43.5</v>
      </c>
      <c r="B12" s="12">
        <v>0.198</v>
      </c>
      <c r="C12" s="12">
        <f t="shared" si="1"/>
        <v>0.1669308398</v>
      </c>
      <c r="D12" s="12">
        <f t="shared" si="2"/>
        <v>-0.03106916016</v>
      </c>
      <c r="E12" s="13">
        <f t="shared" si="3"/>
        <v>0.0009652927133</v>
      </c>
      <c r="F12" s="12">
        <f t="shared" si="4"/>
        <v>0.05617847959</v>
      </c>
      <c r="G12" s="16">
        <f t="shared" si="5"/>
        <v>219.6969697</v>
      </c>
    </row>
    <row r="13">
      <c r="A13" s="15">
        <v>71.4</v>
      </c>
      <c r="B13" s="12">
        <v>0.2986</v>
      </c>
      <c r="C13" s="12">
        <f t="shared" si="1"/>
        <v>0.2644676055</v>
      </c>
      <c r="D13" s="12">
        <f t="shared" si="2"/>
        <v>-0.03413239449</v>
      </c>
      <c r="E13" s="13">
        <f t="shared" si="3"/>
        <v>0.001165020354</v>
      </c>
      <c r="F13" s="12">
        <f t="shared" si="4"/>
        <v>0.08900325425</v>
      </c>
      <c r="G13" s="16">
        <f t="shared" si="5"/>
        <v>239.1158741</v>
      </c>
    </row>
    <row r="14">
      <c r="A14" s="15">
        <v>100.0</v>
      </c>
      <c r="B14" s="12">
        <v>0.385</v>
      </c>
      <c r="C14" s="12">
        <f t="shared" si="1"/>
        <v>0.3576520955</v>
      </c>
      <c r="D14" s="12">
        <f t="shared" si="2"/>
        <v>-0.02734790448</v>
      </c>
      <c r="E14" s="13">
        <f t="shared" si="3"/>
        <v>0.0007479078797</v>
      </c>
      <c r="F14" s="12">
        <f t="shared" si="4"/>
        <v>0.1203633251</v>
      </c>
      <c r="G14" s="16">
        <f t="shared" si="5"/>
        <v>259.7402597</v>
      </c>
    </row>
    <row r="15">
      <c r="A15" s="15">
        <v>158.9</v>
      </c>
      <c r="B15" s="12">
        <v>0.5441</v>
      </c>
      <c r="C15" s="12">
        <f t="shared" si="1"/>
        <v>0.5306866791</v>
      </c>
      <c r="D15" s="12">
        <f t="shared" si="2"/>
        <v>-0.01341332086</v>
      </c>
      <c r="E15" s="13">
        <f t="shared" si="3"/>
        <v>0.0001799171766</v>
      </c>
      <c r="F15" s="12">
        <f t="shared" si="4"/>
        <v>0.1785959431</v>
      </c>
      <c r="G15" s="16">
        <f t="shared" si="5"/>
        <v>292.0419041</v>
      </c>
    </row>
    <row r="16">
      <c r="A16" s="15">
        <v>227.5</v>
      </c>
      <c r="B16" s="12">
        <v>0.702</v>
      </c>
      <c r="C16" s="12">
        <f t="shared" si="1"/>
        <v>0.70540481</v>
      </c>
      <c r="D16" s="12">
        <f t="shared" si="2"/>
        <v>0.00340480997</v>
      </c>
      <c r="E16" s="13">
        <f t="shared" si="3"/>
        <v>0.00001159273093</v>
      </c>
      <c r="F16" s="12">
        <f t="shared" si="4"/>
        <v>0.2373951378</v>
      </c>
      <c r="G16" s="16">
        <f t="shared" si="5"/>
        <v>324.0740741</v>
      </c>
    </row>
    <row r="17">
      <c r="A17" s="15">
        <v>304.2</v>
      </c>
      <c r="B17" s="12">
        <v>0.843</v>
      </c>
      <c r="C17" s="12">
        <f t="shared" si="1"/>
        <v>0.8733291645</v>
      </c>
      <c r="D17" s="12">
        <f t="shared" si="2"/>
        <v>0.03032916451</v>
      </c>
      <c r="E17" s="13">
        <f t="shared" si="3"/>
        <v>0.0009198582201</v>
      </c>
      <c r="F17" s="12">
        <f t="shared" si="4"/>
        <v>0.2939079723</v>
      </c>
      <c r="G17" s="16">
        <f t="shared" si="5"/>
        <v>360.8540925</v>
      </c>
    </row>
    <row r="18">
      <c r="A18" s="15">
        <v>387.0</v>
      </c>
      <c r="B18" s="12">
        <v>1.01</v>
      </c>
      <c r="C18" s="12">
        <f t="shared" si="1"/>
        <v>1.028742112</v>
      </c>
      <c r="D18" s="12">
        <f t="shared" si="2"/>
        <v>0.01874211237</v>
      </c>
      <c r="E18" s="13">
        <f t="shared" si="3"/>
        <v>0.0003512667762</v>
      </c>
      <c r="F18" s="12">
        <f t="shared" si="4"/>
        <v>0.3462102499</v>
      </c>
      <c r="G18" s="16">
        <f t="shared" si="5"/>
        <v>383.1683168</v>
      </c>
    </row>
    <row r="19">
      <c r="A19" s="15">
        <v>468.0</v>
      </c>
      <c r="B19" s="12">
        <v>1.138</v>
      </c>
      <c r="C19" s="12">
        <f t="shared" si="1"/>
        <v>1.160003358</v>
      </c>
      <c r="D19" s="12">
        <f t="shared" si="2"/>
        <v>0.02200335752</v>
      </c>
      <c r="E19" s="13">
        <f t="shared" si="3"/>
        <v>0.0004841477421</v>
      </c>
      <c r="F19" s="12">
        <f t="shared" si="4"/>
        <v>0.3903845749</v>
      </c>
      <c r="G19" s="16">
        <f t="shared" si="5"/>
        <v>411.2478032</v>
      </c>
    </row>
    <row r="20">
      <c r="A20" s="15">
        <v>569.0</v>
      </c>
      <c r="B20" s="12">
        <v>1.288</v>
      </c>
      <c r="C20" s="12">
        <f t="shared" si="1"/>
        <v>1.300757576</v>
      </c>
      <c r="D20" s="12">
        <f t="shared" si="2"/>
        <v>0.01275757566</v>
      </c>
      <c r="E20" s="13">
        <f t="shared" si="3"/>
        <v>0.0001627557368</v>
      </c>
      <c r="F20" s="12">
        <f t="shared" si="4"/>
        <v>0.4377536409</v>
      </c>
      <c r="G20" s="16">
        <f t="shared" si="5"/>
        <v>441.7701863</v>
      </c>
    </row>
    <row r="21" ht="15.75" customHeight="1">
      <c r="A21" s="15">
        <v>677.8</v>
      </c>
      <c r="B21" s="12">
        <v>1.434</v>
      </c>
      <c r="C21" s="12">
        <f t="shared" si="1"/>
        <v>1.429798942</v>
      </c>
      <c r="D21" s="12">
        <f t="shared" si="2"/>
        <v>-0.004201057635</v>
      </c>
      <c r="E21" s="13">
        <f t="shared" si="3"/>
        <v>0.00001764888525</v>
      </c>
      <c r="F21" s="12">
        <f t="shared" si="4"/>
        <v>0.4811808938</v>
      </c>
      <c r="G21" s="16">
        <f t="shared" si="5"/>
        <v>472.6638773</v>
      </c>
    </row>
    <row r="22" ht="15.75" customHeight="1">
      <c r="A22" s="15">
        <v>775.0</v>
      </c>
      <c r="B22" s="12">
        <v>1.562</v>
      </c>
      <c r="C22" s="12">
        <f t="shared" si="1"/>
        <v>1.529311154</v>
      </c>
      <c r="D22" s="12">
        <f t="shared" si="2"/>
        <v>-0.03268884569</v>
      </c>
      <c r="E22" s="13">
        <f t="shared" si="3"/>
        <v>0.001068560633</v>
      </c>
      <c r="F22" s="12">
        <f t="shared" si="4"/>
        <v>0.5146704801</v>
      </c>
      <c r="G22" s="16">
        <f t="shared" si="5"/>
        <v>496.1587708</v>
      </c>
    </row>
    <row r="23" ht="15.75" customHeight="1"/>
    <row r="24" ht="15.75" customHeight="1">
      <c r="A24" s="4" t="s">
        <v>40</v>
      </c>
      <c r="B24" s="22">
        <f>SUM(E10:E22)</f>
        <v>0.006941009997</v>
      </c>
    </row>
    <row r="25" ht="15.75" customHeight="1">
      <c r="A25" s="5" t="s">
        <v>42</v>
      </c>
      <c r="B25" s="23">
        <f>DEVSQ(B10:B22)</f>
        <v>3.199170732</v>
      </c>
    </row>
    <row r="26" ht="15.75" customHeight="1">
      <c r="A26" s="5" t="s">
        <v>43</v>
      </c>
      <c r="B26" s="17">
        <f>1-B24/B25</f>
        <v>0.9978303721</v>
      </c>
    </row>
    <row r="27" ht="15.75" customHeight="1">
      <c r="A27" s="5" t="s">
        <v>44</v>
      </c>
      <c r="B27" s="17">
        <f>SQRT(B24/13)</f>
        <v>0.0231067922</v>
      </c>
    </row>
    <row r="28" ht="15.75" customHeight="1">
      <c r="A28" s="5"/>
      <c r="B28" s="24"/>
      <c r="C28" s="3"/>
    </row>
    <row r="29" ht="15.75" customHeight="1"/>
    <row r="30" ht="15.75" customHeight="1">
      <c r="A30" s="4" t="s">
        <v>46</v>
      </c>
    </row>
    <row r="31" ht="15.75" customHeight="1">
      <c r="A31" s="5" t="s">
        <v>47</v>
      </c>
      <c r="B31" s="23">
        <f>SLOPE(G10:G22,A10:A22)</f>
        <v>0.3966194947</v>
      </c>
    </row>
    <row r="32" ht="15.75" customHeight="1">
      <c r="A32" s="5" t="s">
        <v>50</v>
      </c>
      <c r="B32" s="23">
        <f>INTERCEPT(G10:G22,A10:A22)</f>
        <v>214.0437902</v>
      </c>
    </row>
    <row r="33" ht="15.75" customHeight="1">
      <c r="A33" s="5" t="s">
        <v>51</v>
      </c>
      <c r="B33" s="26">
        <f>1/B31</f>
        <v>2.52130824</v>
      </c>
    </row>
    <row r="34" ht="15.75" customHeight="1">
      <c r="A34" s="5" t="s">
        <v>53</v>
      </c>
      <c r="B34" s="23">
        <f>B31/B32</f>
        <v>0.001852982954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15" width="12.0"/>
    <col customWidth="1" min="16" max="41" width="8.71"/>
  </cols>
  <sheetData>
    <row r="1" ht="21.75" customHeight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57</v>
      </c>
    </row>
    <row r="4">
      <c r="A4" s="4" t="s">
        <v>3</v>
      </c>
    </row>
    <row r="5">
      <c r="A5" s="5" t="s">
        <v>58</v>
      </c>
      <c r="B5" s="7">
        <v>10.62082197</v>
      </c>
    </row>
    <row r="6">
      <c r="A6" s="5" t="s">
        <v>59</v>
      </c>
      <c r="B6" s="7">
        <v>0.2441782</v>
      </c>
    </row>
    <row r="7">
      <c r="A7" s="5" t="s">
        <v>6</v>
      </c>
      <c r="B7" s="7">
        <v>4655.11885286</v>
      </c>
    </row>
    <row r="8">
      <c r="A8" s="5" t="s">
        <v>7</v>
      </c>
      <c r="B8" s="7">
        <v>2136.57899752</v>
      </c>
    </row>
    <row r="9">
      <c r="A9" s="5" t="s">
        <v>8</v>
      </c>
      <c r="B9" s="7">
        <v>612.71129796</v>
      </c>
    </row>
    <row r="11">
      <c r="A11" s="8" t="s">
        <v>9</v>
      </c>
      <c r="F11" s="8" t="s">
        <v>10</v>
      </c>
      <c r="K11" s="8" t="s">
        <v>11</v>
      </c>
    </row>
    <row r="12">
      <c r="A12" s="9" t="s">
        <v>60</v>
      </c>
      <c r="B12" s="9" t="s">
        <v>13</v>
      </c>
      <c r="C12" s="9" t="s">
        <v>61</v>
      </c>
      <c r="D12" s="9" t="s">
        <v>62</v>
      </c>
      <c r="E12" s="9" t="s">
        <v>63</v>
      </c>
      <c r="F12" s="9" t="s">
        <v>60</v>
      </c>
      <c r="G12" s="9" t="s">
        <v>13</v>
      </c>
      <c r="H12" s="9" t="s">
        <v>61</v>
      </c>
      <c r="I12" s="9" t="s">
        <v>62</v>
      </c>
      <c r="J12" s="9" t="s">
        <v>63</v>
      </c>
      <c r="K12" s="9" t="s">
        <v>60</v>
      </c>
      <c r="L12" s="9" t="s">
        <v>13</v>
      </c>
      <c r="M12" s="9" t="s">
        <v>61</v>
      </c>
      <c r="N12" s="9" t="s">
        <v>62</v>
      </c>
      <c r="O12" s="9" t="s">
        <v>63</v>
      </c>
    </row>
    <row r="13">
      <c r="A13" s="10">
        <v>0.0</v>
      </c>
      <c r="B13" s="11">
        <v>0.0</v>
      </c>
      <c r="C13" s="12">
        <f t="shared" ref="C13:C27" si="1">$B$5*$B$7*A13/(1+($B$7*A13)^$B$6)^(1/$B$6)</f>
        <v>0</v>
      </c>
      <c r="D13" s="12">
        <f t="shared" ref="D13:D27" si="2">C13-B13</f>
        <v>0</v>
      </c>
      <c r="E13" s="13">
        <f t="shared" ref="E13:E27" si="3">D13^2</f>
        <v>0</v>
      </c>
      <c r="F13" s="10">
        <v>0.0</v>
      </c>
      <c r="G13" s="11">
        <v>0.0</v>
      </c>
      <c r="H13" s="12">
        <f t="shared" ref="H13:H39" si="4">$B$5*$B$8*F13/(1+($B$8*F13)^$B$6)^(1/$B$6)</f>
        <v>0</v>
      </c>
      <c r="I13" s="12">
        <f t="shared" ref="I13:I39" si="5">H13-G13</f>
        <v>0</v>
      </c>
      <c r="J13" s="13">
        <f t="shared" ref="J13:J39" si="6">I13^2</f>
        <v>0</v>
      </c>
      <c r="K13" s="10">
        <v>0.0</v>
      </c>
      <c r="L13" s="11">
        <v>0.0</v>
      </c>
      <c r="M13" s="12">
        <f t="shared" ref="M13:M33" si="7">$B$5*$B$9*K13/(1+($B$9*K13)^$B$6)^(1/$B$6)</f>
        <v>0</v>
      </c>
      <c r="N13" s="12">
        <f t="shared" ref="N13:N33" si="8">M13-L13</f>
        <v>0</v>
      </c>
      <c r="O13" s="13">
        <f t="shared" ref="O13:O33" si="9">N13^2</f>
        <v>0</v>
      </c>
    </row>
    <row r="14">
      <c r="A14" s="10">
        <v>0.00118</v>
      </c>
      <c r="B14" s="11">
        <v>1.147</v>
      </c>
      <c r="C14" s="12">
        <f t="shared" si="1"/>
        <v>1.333655354</v>
      </c>
      <c r="D14" s="12">
        <f t="shared" si="2"/>
        <v>0.1866553545</v>
      </c>
      <c r="E14" s="13">
        <f t="shared" si="3"/>
        <v>0.03484022135</v>
      </c>
      <c r="F14" s="10">
        <v>0.00126</v>
      </c>
      <c r="G14" s="11">
        <v>0.825</v>
      </c>
      <c r="H14" s="12">
        <f t="shared" si="4"/>
        <v>0.9894756295</v>
      </c>
      <c r="I14" s="12">
        <f t="shared" si="5"/>
        <v>0.1644756295</v>
      </c>
      <c r="J14" s="13">
        <f t="shared" si="6"/>
        <v>0.02705223269</v>
      </c>
      <c r="K14" s="10">
        <v>0.00106</v>
      </c>
      <c r="L14" s="11">
        <v>0.356</v>
      </c>
      <c r="M14" s="12">
        <f t="shared" si="7"/>
        <v>0.4978997039</v>
      </c>
      <c r="N14" s="12">
        <f t="shared" si="8"/>
        <v>0.1418997039</v>
      </c>
      <c r="O14" s="13">
        <f t="shared" si="9"/>
        <v>0.02013552598</v>
      </c>
    </row>
    <row r="15">
      <c r="A15" s="10">
        <v>0.0061</v>
      </c>
      <c r="B15" s="11">
        <v>2.249</v>
      </c>
      <c r="C15" s="12">
        <f t="shared" si="1"/>
        <v>2.374018222</v>
      </c>
      <c r="D15" s="12">
        <f t="shared" si="2"/>
        <v>0.1250182219</v>
      </c>
      <c r="E15" s="13">
        <f t="shared" si="3"/>
        <v>0.01562955581</v>
      </c>
      <c r="F15" s="10">
        <v>0.00407</v>
      </c>
      <c r="G15" s="11">
        <v>1.458</v>
      </c>
      <c r="H15" s="12">
        <f t="shared" si="4"/>
        <v>1.591051927</v>
      </c>
      <c r="I15" s="12">
        <f t="shared" si="5"/>
        <v>0.1330519274</v>
      </c>
      <c r="J15" s="13">
        <f t="shared" si="6"/>
        <v>0.01770281538</v>
      </c>
      <c r="K15" s="10">
        <v>0.00214</v>
      </c>
      <c r="L15" s="11">
        <v>0.529</v>
      </c>
      <c r="M15" s="12">
        <f t="shared" si="7"/>
        <v>0.7098897528</v>
      </c>
      <c r="N15" s="12">
        <f t="shared" si="8"/>
        <v>0.1808897528</v>
      </c>
      <c r="O15" s="13">
        <f t="shared" si="9"/>
        <v>0.03272110268</v>
      </c>
    </row>
    <row r="16">
      <c r="A16" s="10">
        <v>0.02905</v>
      </c>
      <c r="B16" s="11">
        <v>3.659</v>
      </c>
      <c r="C16" s="12">
        <f t="shared" si="1"/>
        <v>3.606904377</v>
      </c>
      <c r="D16" s="12">
        <f t="shared" si="2"/>
        <v>-0.05209562268</v>
      </c>
      <c r="E16" s="13">
        <f t="shared" si="3"/>
        <v>0.002713953903</v>
      </c>
      <c r="F16" s="10">
        <v>0.00905</v>
      </c>
      <c r="G16" s="11">
        <v>2.06</v>
      </c>
      <c r="H16" s="12">
        <f t="shared" si="4"/>
        <v>2.102165961</v>
      </c>
      <c r="I16" s="12">
        <f t="shared" si="5"/>
        <v>0.04216596072</v>
      </c>
      <c r="J16" s="13">
        <f t="shared" si="6"/>
        <v>0.001777968244</v>
      </c>
      <c r="K16" s="10">
        <v>0.00501</v>
      </c>
      <c r="L16" s="11">
        <v>1.06</v>
      </c>
      <c r="M16" s="12">
        <f t="shared" si="7"/>
        <v>1.047738704</v>
      </c>
      <c r="N16" s="12">
        <f t="shared" si="8"/>
        <v>-0.01226129559</v>
      </c>
      <c r="O16" s="13">
        <f t="shared" si="9"/>
        <v>0.0001503393695</v>
      </c>
    </row>
    <row r="17">
      <c r="A17" s="10">
        <v>0.0861</v>
      </c>
      <c r="B17" s="11">
        <v>4.5</v>
      </c>
      <c r="C17" s="12">
        <f t="shared" si="1"/>
        <v>4.527895364</v>
      </c>
      <c r="D17" s="12">
        <f t="shared" si="2"/>
        <v>0.02789536363</v>
      </c>
      <c r="E17" s="13">
        <f t="shared" si="3"/>
        <v>0.000778151312</v>
      </c>
      <c r="F17" s="10">
        <v>0.01325</v>
      </c>
      <c r="G17" s="11">
        <v>2.4</v>
      </c>
      <c r="H17" s="12">
        <f t="shared" si="4"/>
        <v>2.371798268</v>
      </c>
      <c r="I17" s="12">
        <f t="shared" si="5"/>
        <v>-0.02820173151</v>
      </c>
      <c r="J17" s="13">
        <f t="shared" si="6"/>
        <v>0.0007953376599</v>
      </c>
      <c r="K17" s="10">
        <v>0.00907</v>
      </c>
      <c r="L17" s="11">
        <v>1.43</v>
      </c>
      <c r="M17" s="12">
        <f t="shared" si="7"/>
        <v>1.339828942</v>
      </c>
      <c r="N17" s="12">
        <f t="shared" si="8"/>
        <v>-0.09017105823</v>
      </c>
      <c r="O17" s="13">
        <f t="shared" si="9"/>
        <v>0.008130819742</v>
      </c>
    </row>
    <row r="18">
      <c r="A18" s="10">
        <v>0.16</v>
      </c>
      <c r="B18" s="11">
        <v>5.06</v>
      </c>
      <c r="C18" s="12">
        <f t="shared" si="1"/>
        <v>5.051997853</v>
      </c>
      <c r="D18" s="12">
        <f t="shared" si="2"/>
        <v>-0.008002146677</v>
      </c>
      <c r="E18" s="13">
        <f t="shared" si="3"/>
        <v>0.00006403435143</v>
      </c>
      <c r="F18" s="10">
        <v>0.02007</v>
      </c>
      <c r="G18" s="11">
        <v>2.734</v>
      </c>
      <c r="H18" s="12">
        <f t="shared" si="4"/>
        <v>2.681880304</v>
      </c>
      <c r="I18" s="12">
        <f t="shared" si="5"/>
        <v>-0.05211969649</v>
      </c>
      <c r="J18" s="13">
        <f t="shared" si="6"/>
        <v>0.002716462762</v>
      </c>
      <c r="K18" s="10">
        <v>0.02423</v>
      </c>
      <c r="L18" s="11">
        <v>2.09</v>
      </c>
      <c r="M18" s="12">
        <f t="shared" si="7"/>
        <v>1.924676289</v>
      </c>
      <c r="N18" s="12">
        <f t="shared" si="8"/>
        <v>-0.1653237114</v>
      </c>
      <c r="O18" s="13">
        <f t="shared" si="9"/>
        <v>0.02733192956</v>
      </c>
    </row>
    <row r="19">
      <c r="A19" s="10">
        <v>0.31</v>
      </c>
      <c r="B19" s="11">
        <v>5.58</v>
      </c>
      <c r="C19" s="12">
        <f t="shared" si="1"/>
        <v>5.597937145</v>
      </c>
      <c r="D19" s="12">
        <f t="shared" si="2"/>
        <v>0.01793714544</v>
      </c>
      <c r="E19" s="13">
        <f t="shared" si="3"/>
        <v>0.0003217411864</v>
      </c>
      <c r="F19" s="10">
        <v>0.04515</v>
      </c>
      <c r="G19" s="11">
        <v>3.38</v>
      </c>
      <c r="H19" s="12">
        <f t="shared" si="4"/>
        <v>3.326874909</v>
      </c>
      <c r="I19" s="12">
        <f t="shared" si="5"/>
        <v>-0.05312509121</v>
      </c>
      <c r="J19" s="13">
        <f t="shared" si="6"/>
        <v>0.002822275317</v>
      </c>
      <c r="K19" s="10">
        <v>0.0422</v>
      </c>
      <c r="L19" s="11">
        <v>2.49</v>
      </c>
      <c r="M19" s="12">
        <f t="shared" si="7"/>
        <v>2.306308522</v>
      </c>
      <c r="N19" s="12">
        <f t="shared" si="8"/>
        <v>-0.1836914782</v>
      </c>
      <c r="O19" s="13">
        <f t="shared" si="9"/>
        <v>0.03374255918</v>
      </c>
    </row>
    <row r="20">
      <c r="A20" s="10">
        <v>0.525</v>
      </c>
      <c r="B20" s="11">
        <v>6.04</v>
      </c>
      <c r="C20" s="12">
        <f t="shared" si="1"/>
        <v>6.017030765</v>
      </c>
      <c r="D20" s="12">
        <f t="shared" si="2"/>
        <v>-0.02296923473</v>
      </c>
      <c r="E20" s="13">
        <f t="shared" si="3"/>
        <v>0.0005275857441</v>
      </c>
      <c r="F20" s="10">
        <v>0.09503</v>
      </c>
      <c r="G20" s="11">
        <v>4.05</v>
      </c>
      <c r="H20" s="12">
        <f t="shared" si="4"/>
        <v>3.94926345</v>
      </c>
      <c r="I20" s="12">
        <f t="shared" si="5"/>
        <v>-0.10073655</v>
      </c>
      <c r="J20" s="13">
        <f t="shared" si="6"/>
        <v>0.0101478525</v>
      </c>
      <c r="K20" s="10">
        <v>0.07503</v>
      </c>
      <c r="L20" s="11">
        <v>2.9</v>
      </c>
      <c r="M20" s="12">
        <f t="shared" si="7"/>
        <v>2.735355998</v>
      </c>
      <c r="N20" s="12">
        <f t="shared" si="8"/>
        <v>-0.1646440024</v>
      </c>
      <c r="O20" s="13">
        <f t="shared" si="9"/>
        <v>0.02710764754</v>
      </c>
    </row>
    <row r="21" ht="15.75" customHeight="1">
      <c r="A21" s="10">
        <v>1.015</v>
      </c>
      <c r="B21" s="11">
        <v>6.52</v>
      </c>
      <c r="C21" s="12">
        <f t="shared" si="1"/>
        <v>6.515934969</v>
      </c>
      <c r="D21" s="12">
        <f t="shared" si="2"/>
        <v>-0.00406503071</v>
      </c>
      <c r="E21" s="13">
        <f t="shared" si="3"/>
        <v>0.00001652447468</v>
      </c>
      <c r="F21" s="10">
        <v>0.16</v>
      </c>
      <c r="G21" s="11">
        <v>4.49</v>
      </c>
      <c r="H21" s="12">
        <f t="shared" si="4"/>
        <v>4.392425953</v>
      </c>
      <c r="I21" s="12">
        <f t="shared" si="5"/>
        <v>-0.09757404744</v>
      </c>
      <c r="J21" s="13">
        <f t="shared" si="6"/>
        <v>0.009520694735</v>
      </c>
      <c r="K21" s="10">
        <v>0.145</v>
      </c>
      <c r="L21" s="11">
        <v>3.4</v>
      </c>
      <c r="M21" s="12">
        <f t="shared" si="7"/>
        <v>3.259457235</v>
      </c>
      <c r="N21" s="12">
        <f t="shared" si="8"/>
        <v>-0.1405427649</v>
      </c>
      <c r="O21" s="13">
        <f t="shared" si="9"/>
        <v>0.01975226875</v>
      </c>
    </row>
    <row r="22" ht="15.75" customHeight="1">
      <c r="A22" s="10">
        <v>1.015</v>
      </c>
      <c r="B22" s="11">
        <v>6.5</v>
      </c>
      <c r="C22" s="12">
        <f t="shared" si="1"/>
        <v>6.515934969</v>
      </c>
      <c r="D22" s="12">
        <f t="shared" si="2"/>
        <v>0.01593496929</v>
      </c>
      <c r="E22" s="13">
        <f t="shared" si="3"/>
        <v>0.0002539232463</v>
      </c>
      <c r="F22" s="10">
        <v>0.22</v>
      </c>
      <c r="G22" s="11">
        <v>4.74</v>
      </c>
      <c r="H22" s="12">
        <f t="shared" si="4"/>
        <v>4.663362562</v>
      </c>
      <c r="I22" s="12">
        <f t="shared" si="5"/>
        <v>-0.07663743841</v>
      </c>
      <c r="J22" s="13">
        <f t="shared" si="6"/>
        <v>0.005873296966</v>
      </c>
      <c r="K22" s="10">
        <v>0.27</v>
      </c>
      <c r="L22" s="11">
        <v>3.915</v>
      </c>
      <c r="M22" s="12">
        <f t="shared" si="7"/>
        <v>3.776128128</v>
      </c>
      <c r="N22" s="12">
        <f t="shared" si="8"/>
        <v>-0.1388718721</v>
      </c>
      <c r="O22" s="13">
        <f t="shared" si="9"/>
        <v>0.01928539685</v>
      </c>
    </row>
    <row r="23" ht="15.75" customHeight="1">
      <c r="A23" s="10">
        <v>1.445</v>
      </c>
      <c r="B23" s="11">
        <v>6.92</v>
      </c>
      <c r="C23" s="12">
        <f t="shared" si="1"/>
        <v>6.769895334</v>
      </c>
      <c r="D23" s="12">
        <f t="shared" si="2"/>
        <v>-0.1501046661</v>
      </c>
      <c r="E23" s="13">
        <f t="shared" si="3"/>
        <v>0.0225314108</v>
      </c>
      <c r="F23" s="10">
        <v>0.28</v>
      </c>
      <c r="G23" s="11">
        <v>4.96</v>
      </c>
      <c r="H23" s="12">
        <f t="shared" si="4"/>
        <v>4.867599025</v>
      </c>
      <c r="I23" s="12">
        <f t="shared" si="5"/>
        <v>-0.0924009752</v>
      </c>
      <c r="J23" s="13">
        <f t="shared" si="6"/>
        <v>0.008537940219</v>
      </c>
      <c r="K23" s="10">
        <v>0.39</v>
      </c>
      <c r="L23" s="11">
        <v>4.1</v>
      </c>
      <c r="M23" s="12">
        <f t="shared" si="7"/>
        <v>4.087537791</v>
      </c>
      <c r="N23" s="12">
        <f t="shared" si="8"/>
        <v>-0.0124622085</v>
      </c>
      <c r="O23" s="13">
        <f t="shared" si="9"/>
        <v>0.0001553066407</v>
      </c>
    </row>
    <row r="24" ht="15.75" customHeight="1">
      <c r="A24" s="10">
        <v>1.935</v>
      </c>
      <c r="B24" s="11">
        <v>6.96</v>
      </c>
      <c r="C24" s="12">
        <f t="shared" si="1"/>
        <v>6.97225455</v>
      </c>
      <c r="D24" s="12">
        <f t="shared" si="2"/>
        <v>0.01225454967</v>
      </c>
      <c r="E24" s="13">
        <f t="shared" si="3"/>
        <v>0.0001501739876</v>
      </c>
      <c r="F24" s="10">
        <v>0.37</v>
      </c>
      <c r="G24" s="11">
        <v>5.167</v>
      </c>
      <c r="H24" s="12">
        <f t="shared" si="4"/>
        <v>5.101873427</v>
      </c>
      <c r="I24" s="12">
        <f t="shared" si="5"/>
        <v>-0.06512657258</v>
      </c>
      <c r="J24" s="13">
        <f t="shared" si="6"/>
        <v>0.004241470456</v>
      </c>
      <c r="K24" s="10">
        <v>0.545</v>
      </c>
      <c r="L24" s="11">
        <v>4.329</v>
      </c>
      <c r="M24" s="12">
        <f t="shared" si="7"/>
        <v>4.372444794</v>
      </c>
      <c r="N24" s="12">
        <f t="shared" si="8"/>
        <v>0.04344479375</v>
      </c>
      <c r="O24" s="13">
        <f t="shared" si="9"/>
        <v>0.001887450104</v>
      </c>
    </row>
    <row r="25" ht="15.75" customHeight="1">
      <c r="A25" s="10">
        <v>2.28</v>
      </c>
      <c r="B25" s="11">
        <v>7.09</v>
      </c>
      <c r="C25" s="12">
        <f t="shared" si="1"/>
        <v>7.082845859</v>
      </c>
      <c r="D25" s="12">
        <f t="shared" si="2"/>
        <v>-0.0071541408</v>
      </c>
      <c r="E25" s="13">
        <f t="shared" si="3"/>
        <v>0.00005118173058</v>
      </c>
      <c r="F25" s="10">
        <v>0.485</v>
      </c>
      <c r="G25" s="11">
        <v>5.315</v>
      </c>
      <c r="H25" s="12">
        <f t="shared" si="4"/>
        <v>5.32687675</v>
      </c>
      <c r="I25" s="12">
        <f t="shared" si="5"/>
        <v>0.01187674958</v>
      </c>
      <c r="J25" s="13">
        <f t="shared" si="6"/>
        <v>0.0001410571806</v>
      </c>
      <c r="K25" s="10">
        <v>0.705</v>
      </c>
      <c r="L25" s="11">
        <v>4.532</v>
      </c>
      <c r="M25" s="12">
        <f t="shared" si="7"/>
        <v>4.591570061</v>
      </c>
      <c r="N25" s="12">
        <f t="shared" si="8"/>
        <v>0.05957006063</v>
      </c>
      <c r="O25" s="13">
        <f t="shared" si="9"/>
        <v>0.003548592124</v>
      </c>
    </row>
    <row r="26" ht="15.75" customHeight="1">
      <c r="A26" s="10">
        <v>2.66</v>
      </c>
      <c r="B26" s="11">
        <v>7.22</v>
      </c>
      <c r="C26" s="12">
        <f t="shared" si="1"/>
        <v>7.184675348</v>
      </c>
      <c r="D26" s="12">
        <f t="shared" si="2"/>
        <v>-0.03532465244</v>
      </c>
      <c r="E26" s="13">
        <f t="shared" si="3"/>
        <v>0.00124783107</v>
      </c>
      <c r="F26" s="10">
        <v>0.57</v>
      </c>
      <c r="G26" s="11">
        <v>5.399</v>
      </c>
      <c r="H26" s="12">
        <f t="shared" si="4"/>
        <v>5.459694058</v>
      </c>
      <c r="I26" s="12">
        <f t="shared" si="5"/>
        <v>0.06069405752</v>
      </c>
      <c r="J26" s="13">
        <f t="shared" si="6"/>
        <v>0.003683768618</v>
      </c>
      <c r="K26" s="10">
        <v>0.85</v>
      </c>
      <c r="L26" s="11">
        <v>4.74</v>
      </c>
      <c r="M26" s="12">
        <f t="shared" si="7"/>
        <v>4.750340457</v>
      </c>
      <c r="N26" s="12">
        <f t="shared" si="8"/>
        <v>0.01034045719</v>
      </c>
      <c r="O26" s="13">
        <f t="shared" si="9"/>
        <v>0.0001069250549</v>
      </c>
    </row>
    <row r="27" ht="15.75" customHeight="1">
      <c r="A27" s="10">
        <v>3.2</v>
      </c>
      <c r="B27" s="11">
        <v>7.372</v>
      </c>
      <c r="C27" s="12">
        <f t="shared" si="1"/>
        <v>7.304084321</v>
      </c>
      <c r="D27" s="12">
        <f t="shared" si="2"/>
        <v>-0.06791567854</v>
      </c>
      <c r="E27" s="13">
        <f t="shared" si="3"/>
        <v>0.004612539392</v>
      </c>
      <c r="F27" s="10">
        <v>0.7</v>
      </c>
      <c r="G27" s="11">
        <v>5.586</v>
      </c>
      <c r="H27" s="12">
        <f t="shared" si="4"/>
        <v>5.626871763</v>
      </c>
      <c r="I27" s="12">
        <f t="shared" si="5"/>
        <v>0.04087176329</v>
      </c>
      <c r="J27" s="13">
        <f t="shared" si="6"/>
        <v>0.001670501035</v>
      </c>
      <c r="K27" s="10">
        <v>1.01</v>
      </c>
      <c r="L27" s="11">
        <v>4.82</v>
      </c>
      <c r="M27" s="12">
        <f t="shared" si="7"/>
        <v>4.896165257</v>
      </c>
      <c r="N27" s="12">
        <f t="shared" si="8"/>
        <v>0.07616525719</v>
      </c>
      <c r="O27" s="13">
        <f t="shared" si="9"/>
        <v>0.005801146403</v>
      </c>
    </row>
    <row r="28" ht="15.75" customHeight="1">
      <c r="F28" s="10">
        <v>0.875</v>
      </c>
      <c r="G28" s="11">
        <v>5.718</v>
      </c>
      <c r="H28" s="12">
        <f t="shared" si="4"/>
        <v>5.805918023</v>
      </c>
      <c r="I28" s="12">
        <f t="shared" si="5"/>
        <v>0.08791802263</v>
      </c>
      <c r="J28" s="13">
        <f t="shared" si="6"/>
        <v>0.007729578703</v>
      </c>
      <c r="K28" s="10">
        <v>1.175</v>
      </c>
      <c r="L28" s="11">
        <v>4.93</v>
      </c>
      <c r="M28" s="12">
        <f t="shared" si="7"/>
        <v>5.023496554</v>
      </c>
      <c r="N28" s="12">
        <f t="shared" si="8"/>
        <v>0.09349655423</v>
      </c>
      <c r="O28" s="13">
        <f t="shared" si="9"/>
        <v>0.008741605653</v>
      </c>
    </row>
    <row r="29" ht="15.75" customHeight="1">
      <c r="F29" s="10">
        <v>0.875</v>
      </c>
      <c r="G29" s="11">
        <v>5.718</v>
      </c>
      <c r="H29" s="12">
        <f t="shared" si="4"/>
        <v>5.805918023</v>
      </c>
      <c r="I29" s="12">
        <f t="shared" si="5"/>
        <v>0.08791802263</v>
      </c>
      <c r="J29" s="13">
        <f t="shared" si="6"/>
        <v>0.007729578703</v>
      </c>
      <c r="K29" s="10">
        <v>1.455</v>
      </c>
      <c r="L29" s="11">
        <v>5.2</v>
      </c>
      <c r="M29" s="12">
        <f t="shared" si="7"/>
        <v>5.202137599</v>
      </c>
      <c r="N29" s="12">
        <f t="shared" si="8"/>
        <v>0.002137599279</v>
      </c>
      <c r="O29" s="13">
        <f t="shared" si="9"/>
        <v>0.000004569330677</v>
      </c>
    </row>
    <row r="30" ht="15.75" customHeight="1">
      <c r="F30" s="10">
        <v>1.015</v>
      </c>
      <c r="G30" s="11">
        <v>5.803</v>
      </c>
      <c r="H30" s="12">
        <f t="shared" si="4"/>
        <v>5.923409892</v>
      </c>
      <c r="I30" s="12">
        <f t="shared" si="5"/>
        <v>0.1204098915</v>
      </c>
      <c r="J30" s="13">
        <f t="shared" si="6"/>
        <v>0.01449854198</v>
      </c>
      <c r="K30" s="10">
        <v>1.72</v>
      </c>
      <c r="L30" s="11">
        <v>5.24</v>
      </c>
      <c r="M30" s="12">
        <f t="shared" si="7"/>
        <v>5.340799997</v>
      </c>
      <c r="N30" s="12">
        <f t="shared" si="8"/>
        <v>0.1007999968</v>
      </c>
      <c r="O30" s="13">
        <f t="shared" si="9"/>
        <v>0.01016063935</v>
      </c>
    </row>
    <row r="31" ht="15.75" customHeight="1">
      <c r="F31" s="10">
        <v>1.2</v>
      </c>
      <c r="G31" s="11">
        <v>5.942</v>
      </c>
      <c r="H31" s="12">
        <f t="shared" si="4"/>
        <v>6.054308424</v>
      </c>
      <c r="I31" s="12">
        <f t="shared" si="5"/>
        <v>0.112308424</v>
      </c>
      <c r="J31" s="13">
        <f t="shared" si="6"/>
        <v>0.01261318211</v>
      </c>
      <c r="K31" s="10">
        <v>2.125</v>
      </c>
      <c r="L31" s="11">
        <v>5.43</v>
      </c>
      <c r="M31" s="12">
        <f t="shared" si="7"/>
        <v>5.514301134</v>
      </c>
      <c r="N31" s="12">
        <f t="shared" si="8"/>
        <v>0.0843011338</v>
      </c>
      <c r="O31" s="13">
        <f t="shared" si="9"/>
        <v>0.00710668116</v>
      </c>
    </row>
    <row r="32" ht="15.75" customHeight="1">
      <c r="F32" s="10">
        <v>1.505</v>
      </c>
      <c r="G32" s="11">
        <v>6.116</v>
      </c>
      <c r="H32" s="12">
        <f t="shared" si="4"/>
        <v>6.22841576</v>
      </c>
      <c r="I32" s="12">
        <f t="shared" si="5"/>
        <v>0.1124157605</v>
      </c>
      <c r="J32" s="13">
        <f t="shared" si="6"/>
        <v>0.01263730321</v>
      </c>
      <c r="K32" s="10">
        <v>2.695</v>
      </c>
      <c r="L32" s="11">
        <v>5.62</v>
      </c>
      <c r="M32" s="12">
        <f t="shared" si="7"/>
        <v>5.706654341</v>
      </c>
      <c r="N32" s="12">
        <f t="shared" si="8"/>
        <v>0.08665434056</v>
      </c>
      <c r="O32" s="13">
        <f t="shared" si="9"/>
        <v>0.007508974738</v>
      </c>
    </row>
    <row r="33" ht="15.75" customHeight="1">
      <c r="F33" s="10">
        <v>1.83</v>
      </c>
      <c r="G33" s="11">
        <v>6.291</v>
      </c>
      <c r="H33" s="12">
        <f t="shared" si="4"/>
        <v>6.375846664</v>
      </c>
      <c r="I33" s="12">
        <f t="shared" si="5"/>
        <v>0.08484666422</v>
      </c>
      <c r="J33" s="13">
        <f t="shared" si="6"/>
        <v>0.00719895643</v>
      </c>
      <c r="K33" s="10">
        <v>3.395</v>
      </c>
      <c r="L33" s="11">
        <v>5.762</v>
      </c>
      <c r="M33" s="12">
        <f t="shared" si="7"/>
        <v>5.890572017</v>
      </c>
      <c r="N33" s="12">
        <f t="shared" si="8"/>
        <v>0.1285720167</v>
      </c>
      <c r="O33" s="13">
        <f t="shared" si="9"/>
        <v>0.01653076348</v>
      </c>
    </row>
    <row r="34" ht="15.75" customHeight="1">
      <c r="F34" s="10">
        <v>2.235</v>
      </c>
      <c r="G34" s="11">
        <v>6.51</v>
      </c>
      <c r="H34" s="12">
        <f t="shared" si="4"/>
        <v>6.523691385</v>
      </c>
      <c r="I34" s="12">
        <f t="shared" si="5"/>
        <v>0.01369138526</v>
      </c>
      <c r="J34" s="13">
        <f t="shared" si="6"/>
        <v>0.0001874540302</v>
      </c>
    </row>
    <row r="35" ht="15.75" customHeight="1">
      <c r="F35" s="10">
        <v>2.5</v>
      </c>
      <c r="G35" s="11">
        <v>6.631</v>
      </c>
      <c r="H35" s="12">
        <f t="shared" si="4"/>
        <v>6.605221725</v>
      </c>
      <c r="I35" s="12">
        <f t="shared" si="5"/>
        <v>-0.02577827495</v>
      </c>
      <c r="J35" s="13">
        <f t="shared" si="6"/>
        <v>0.0006645194596</v>
      </c>
    </row>
    <row r="36" ht="15.75" customHeight="1">
      <c r="F36" s="10">
        <v>2.86</v>
      </c>
      <c r="G36" s="11">
        <v>6.769</v>
      </c>
      <c r="H36" s="12">
        <f t="shared" si="4"/>
        <v>6.701813853</v>
      </c>
      <c r="I36" s="12">
        <f t="shared" si="5"/>
        <v>-0.06718614701</v>
      </c>
      <c r="J36" s="13">
        <f t="shared" si="6"/>
        <v>0.00451397835</v>
      </c>
    </row>
    <row r="37" ht="15.75" customHeight="1">
      <c r="F37" s="10">
        <v>3.065</v>
      </c>
      <c r="G37" s="11">
        <v>6.885</v>
      </c>
      <c r="H37" s="12">
        <f t="shared" si="4"/>
        <v>6.750957114</v>
      </c>
      <c r="I37" s="12">
        <f t="shared" si="5"/>
        <v>-0.134042886</v>
      </c>
      <c r="J37" s="13">
        <f t="shared" si="6"/>
        <v>0.0179674953</v>
      </c>
    </row>
    <row r="38" ht="15.75" customHeight="1">
      <c r="F38" s="10">
        <v>3.065</v>
      </c>
      <c r="G38" s="11">
        <v>6.82</v>
      </c>
      <c r="H38" s="12">
        <f t="shared" si="4"/>
        <v>6.750957114</v>
      </c>
      <c r="I38" s="12">
        <f t="shared" si="5"/>
        <v>-0.06904288604</v>
      </c>
      <c r="J38" s="13">
        <f t="shared" si="6"/>
        <v>0.004766920113</v>
      </c>
    </row>
    <row r="39" ht="15.75" customHeight="1">
      <c r="F39" s="10">
        <v>3.365</v>
      </c>
      <c r="G39" s="11">
        <v>6.92</v>
      </c>
      <c r="H39" s="12">
        <f t="shared" si="4"/>
        <v>6.816635654</v>
      </c>
      <c r="I39" s="12">
        <f t="shared" si="5"/>
        <v>-0.1033643458</v>
      </c>
      <c r="J39" s="13">
        <f t="shared" si="6"/>
        <v>0.01068418799</v>
      </c>
    </row>
    <row r="40" ht="15.75" customHeight="1"/>
    <row r="41" ht="15.75" customHeight="1">
      <c r="A41" s="5" t="s">
        <v>90</v>
      </c>
      <c r="B41" s="17">
        <f>SUM(E13:E27)</f>
        <v>0.08373882836</v>
      </c>
      <c r="F41" s="5" t="s">
        <v>91</v>
      </c>
      <c r="G41" s="17">
        <f>SUM(J13:J39)</f>
        <v>0.1978753701</v>
      </c>
      <c r="K41" s="5" t="s">
        <v>92</v>
      </c>
      <c r="L41" s="17">
        <f>SUM(O13:O33)</f>
        <v>0.2499102437</v>
      </c>
    </row>
    <row r="42" ht="15.75" customHeight="1">
      <c r="A42" s="5" t="s">
        <v>93</v>
      </c>
      <c r="B42" s="17">
        <f>1-B41/DEVSQ(B13:B27)</f>
        <v>0.9989219288</v>
      </c>
      <c r="F42" s="5" t="s">
        <v>94</v>
      </c>
      <c r="G42" s="17">
        <f>1-G41/DEVSQ(G13:G39)</f>
        <v>0.9980717959</v>
      </c>
      <c r="K42" s="5" t="s">
        <v>95</v>
      </c>
      <c r="L42" s="17">
        <f>1-L41/DEVSQ(L13:L33)</f>
        <v>0.9965009587</v>
      </c>
    </row>
    <row r="43" ht="15.75" customHeight="1"/>
    <row r="44" ht="15.75" customHeight="1">
      <c r="A44" s="4" t="s">
        <v>33</v>
      </c>
      <c r="B44" s="18">
        <f>B41+G41+L41</f>
        <v>0.5315244422</v>
      </c>
    </row>
    <row r="45" ht="15.75" customHeight="1"/>
    <row r="46" ht="15.75" customHeight="1">
      <c r="A46" s="4" t="s">
        <v>35</v>
      </c>
    </row>
    <row r="47" ht="15.75" customHeight="1">
      <c r="A47" s="9" t="s">
        <v>36</v>
      </c>
      <c r="B47" s="9" t="s">
        <v>37</v>
      </c>
      <c r="C47" s="9" t="s">
        <v>38</v>
      </c>
      <c r="D47" s="9" t="s">
        <v>39</v>
      </c>
    </row>
    <row r="48" ht="15.75" customHeight="1">
      <c r="A48" s="20">
        <v>298.0</v>
      </c>
      <c r="B48" s="12">
        <f>$B$7</f>
        <v>4655.118853</v>
      </c>
      <c r="C48" s="21">
        <f t="shared" ref="C48:C50" si="10">1/A48</f>
        <v>0.003355704698</v>
      </c>
      <c r="D48" s="10">
        <f t="shared" ref="D48:D50" si="11">LN(B48)</f>
        <v>8.445722722</v>
      </c>
    </row>
    <row r="49" ht="15.75" customHeight="1">
      <c r="A49" s="20">
        <v>308.0</v>
      </c>
      <c r="B49" s="12">
        <f>$B$8</f>
        <v>2136.578998</v>
      </c>
      <c r="C49" s="21">
        <f t="shared" si="10"/>
        <v>0.003246753247</v>
      </c>
      <c r="D49" s="10">
        <f t="shared" si="11"/>
        <v>7.66696123</v>
      </c>
    </row>
    <row r="50" ht="15.75" customHeight="1">
      <c r="A50" s="20">
        <v>323.0</v>
      </c>
      <c r="B50" s="12">
        <f>$B$9</f>
        <v>612.711298</v>
      </c>
      <c r="C50" s="21">
        <f t="shared" si="10"/>
        <v>0.003095975232</v>
      </c>
      <c r="D50" s="10">
        <f t="shared" si="11"/>
        <v>6.417893859</v>
      </c>
    </row>
    <row r="51" ht="15.75" customHeight="1"/>
    <row r="52" ht="15.75" customHeight="1">
      <c r="A52" s="5" t="s">
        <v>41</v>
      </c>
      <c r="B52" s="24">
        <f>SLOPE(D48:D50,C48:C50)</f>
        <v>7836.919785</v>
      </c>
    </row>
    <row r="53" ht="15.75" customHeight="1">
      <c r="A53" s="5" t="s">
        <v>96</v>
      </c>
      <c r="B53" s="26">
        <f>INTERCEPT(D48:D50,C48:C50)</f>
        <v>-17.82508835</v>
      </c>
    </row>
    <row r="54" ht="15.75" customHeight="1">
      <c r="A54" s="5" t="s">
        <v>45</v>
      </c>
      <c r="B54" s="17">
        <f>RSQ(D48:D50,C48:C50)</f>
        <v>0.9983686233</v>
      </c>
    </row>
    <row r="55" ht="15.75" customHeight="1">
      <c r="A55" s="5" t="s">
        <v>48</v>
      </c>
      <c r="B55" s="19">
        <v>8.314</v>
      </c>
    </row>
    <row r="56" ht="15.75" customHeight="1">
      <c r="A56" s="4" t="s">
        <v>49</v>
      </c>
      <c r="B56" s="25">
        <f>-B52*B55/1000</f>
        <v>-65.15615109</v>
      </c>
      <c r="C56" s="3" t="s">
        <v>97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18" width="12.0"/>
    <col customWidth="1" min="19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1</v>
      </c>
    </row>
    <row r="3">
      <c r="A3" s="3" t="s">
        <v>2</v>
      </c>
    </row>
    <row r="5">
      <c r="A5" s="4" t="s">
        <v>3</v>
      </c>
    </row>
    <row r="6">
      <c r="A6" s="5" t="s">
        <v>4</v>
      </c>
      <c r="B6" s="6">
        <v>10.62082197</v>
      </c>
    </row>
    <row r="7">
      <c r="A7" s="5" t="s">
        <v>5</v>
      </c>
      <c r="B7" s="7">
        <v>6.07989776</v>
      </c>
    </row>
    <row r="8">
      <c r="A8" s="5" t="s">
        <v>6</v>
      </c>
      <c r="B8" s="7">
        <v>193.40918743</v>
      </c>
    </row>
    <row r="9">
      <c r="A9" s="5" t="s">
        <v>7</v>
      </c>
      <c r="B9" s="7">
        <v>80.5472153</v>
      </c>
    </row>
    <row r="10">
      <c r="A10" s="5" t="s">
        <v>8</v>
      </c>
      <c r="B10" s="7">
        <v>22.9599202</v>
      </c>
    </row>
    <row r="12">
      <c r="A12" s="8" t="s">
        <v>9</v>
      </c>
      <c r="G12" s="8" t="s">
        <v>10</v>
      </c>
      <c r="M12" s="8" t="s">
        <v>11</v>
      </c>
    </row>
    <row r="13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12</v>
      </c>
      <c r="H13" s="9" t="s">
        <v>13</v>
      </c>
      <c r="I13" s="9" t="s">
        <v>14</v>
      </c>
      <c r="J13" s="9" t="s">
        <v>15</v>
      </c>
      <c r="K13" s="9" t="s">
        <v>16</v>
      </c>
      <c r="L13" s="9" t="s">
        <v>17</v>
      </c>
      <c r="M13" s="9" t="s">
        <v>12</v>
      </c>
      <c r="N13" s="9" t="s">
        <v>13</v>
      </c>
      <c r="O13" s="9" t="s">
        <v>14</v>
      </c>
      <c r="P13" s="9" t="s">
        <v>15</v>
      </c>
      <c r="Q13" s="9" t="s">
        <v>16</v>
      </c>
      <c r="R13" s="9" t="s">
        <v>17</v>
      </c>
    </row>
    <row r="14">
      <c r="A14" s="10">
        <v>0.00118</v>
      </c>
      <c r="B14" s="11">
        <v>1.147</v>
      </c>
      <c r="C14" s="12">
        <f t="shared" ref="C14:C27" si="1">B14/$B$6</f>
        <v>0.1079954078</v>
      </c>
      <c r="D14" s="10">
        <f t="shared" ref="D14:D27" si="2">C14/($B$8*(1-C14)^$B$7)</f>
        <v>0.001118642218</v>
      </c>
      <c r="E14" s="12">
        <f t="shared" ref="E14:E27" si="3">LN(D14)-LN(A14)</f>
        <v>-0.05339879434</v>
      </c>
      <c r="F14" s="13">
        <f t="shared" ref="F14:F27" si="4">E14^2</f>
        <v>0.002851431237</v>
      </c>
      <c r="G14" s="10">
        <v>0.00126</v>
      </c>
      <c r="H14" s="11">
        <v>0.825</v>
      </c>
      <c r="I14" s="12">
        <f t="shared" ref="I14:I39" si="5">H14/$B$6</f>
        <v>0.0776776037</v>
      </c>
      <c r="J14" s="10">
        <f t="shared" ref="J14:J39" si="6">I14/($B$9*(1-I14)^$B$7)</f>
        <v>0.001576719908</v>
      </c>
      <c r="K14" s="12">
        <f t="shared" ref="K14:K39" si="7">LN(J14)-LN(G14)</f>
        <v>0.2242349605</v>
      </c>
      <c r="L14" s="13">
        <f t="shared" ref="L14:L39" si="8">K14^2</f>
        <v>0.05028131749</v>
      </c>
      <c r="M14" s="10">
        <v>0.00106</v>
      </c>
      <c r="N14" s="11">
        <v>0.356</v>
      </c>
      <c r="O14" s="12">
        <f t="shared" ref="O14:O33" si="9">N14/$B$6</f>
        <v>0.03351906293</v>
      </c>
      <c r="P14" s="10">
        <f t="shared" ref="P14:P33" si="10">O14/($B$10*(1-O14)^$B$7)</f>
        <v>0.001796158935</v>
      </c>
      <c r="Q14" s="12">
        <f t="shared" ref="Q14:Q33" si="11">LN(P14)-LN(M14)</f>
        <v>0.5273815516</v>
      </c>
      <c r="R14" s="13">
        <f t="shared" ref="R14:R33" si="12">Q14^2</f>
        <v>0.278131301</v>
      </c>
    </row>
    <row r="15">
      <c r="A15" s="10">
        <v>0.0061</v>
      </c>
      <c r="B15" s="11">
        <v>2.249</v>
      </c>
      <c r="C15" s="12">
        <f t="shared" si="1"/>
        <v>0.2117538554</v>
      </c>
      <c r="D15" s="10">
        <f t="shared" si="2"/>
        <v>0.00465199866</v>
      </c>
      <c r="E15" s="12">
        <f t="shared" si="3"/>
        <v>-0.2709918246</v>
      </c>
      <c r="F15" s="13">
        <f t="shared" si="4"/>
        <v>0.07343656901</v>
      </c>
      <c r="G15" s="10">
        <v>0.00407</v>
      </c>
      <c r="H15" s="11">
        <v>1.458</v>
      </c>
      <c r="I15" s="12">
        <f t="shared" si="5"/>
        <v>0.1372775105</v>
      </c>
      <c r="J15" s="10">
        <f t="shared" si="6"/>
        <v>0.004182595849</v>
      </c>
      <c r="K15" s="12">
        <f t="shared" si="7"/>
        <v>0.02728907075</v>
      </c>
      <c r="L15" s="13">
        <f t="shared" si="8"/>
        <v>0.0007446933826</v>
      </c>
      <c r="M15" s="10">
        <v>0.00214</v>
      </c>
      <c r="N15" s="11">
        <v>0.529</v>
      </c>
      <c r="O15" s="12">
        <f t="shared" si="9"/>
        <v>0.04980782104</v>
      </c>
      <c r="P15" s="10">
        <f t="shared" si="10"/>
        <v>0.002959588121</v>
      </c>
      <c r="Q15" s="12">
        <f t="shared" si="11"/>
        <v>0.3242442813</v>
      </c>
      <c r="R15" s="13">
        <f t="shared" si="12"/>
        <v>0.1051343539</v>
      </c>
    </row>
    <row r="16">
      <c r="A16" s="10">
        <v>0.02905</v>
      </c>
      <c r="B16" s="11">
        <v>3.659</v>
      </c>
      <c r="C16" s="12">
        <f t="shared" si="1"/>
        <v>0.3445119418</v>
      </c>
      <c r="D16" s="10">
        <f t="shared" si="2"/>
        <v>0.02322707587</v>
      </c>
      <c r="E16" s="12">
        <f t="shared" si="3"/>
        <v>-0.2236998218</v>
      </c>
      <c r="F16" s="13">
        <f t="shared" si="4"/>
        <v>0.05004161028</v>
      </c>
      <c r="G16" s="10">
        <v>0.00905</v>
      </c>
      <c r="H16" s="11">
        <v>2.06</v>
      </c>
      <c r="I16" s="12">
        <f t="shared" si="5"/>
        <v>0.1939586226</v>
      </c>
      <c r="J16" s="10">
        <f t="shared" si="6"/>
        <v>0.008932980395</v>
      </c>
      <c r="K16" s="12">
        <f t="shared" si="7"/>
        <v>-0.01301466764</v>
      </c>
      <c r="L16" s="13">
        <f t="shared" si="8"/>
        <v>0.0001693815739</v>
      </c>
      <c r="M16" s="10">
        <v>0.00501</v>
      </c>
      <c r="N16" s="11">
        <v>1.06</v>
      </c>
      <c r="O16" s="12">
        <f t="shared" si="9"/>
        <v>0.09980395143</v>
      </c>
      <c r="P16" s="10">
        <f t="shared" si="10"/>
        <v>0.008237645747</v>
      </c>
      <c r="Q16" s="12">
        <f t="shared" si="11"/>
        <v>0.4972786777</v>
      </c>
      <c r="R16" s="13">
        <f t="shared" si="12"/>
        <v>0.2472860833</v>
      </c>
    </row>
    <row r="17">
      <c r="A17" s="10">
        <v>0.0861</v>
      </c>
      <c r="B17" s="11">
        <v>4.5</v>
      </c>
      <c r="C17" s="12">
        <f t="shared" si="1"/>
        <v>0.4236960202</v>
      </c>
      <c r="D17" s="10">
        <f t="shared" si="2"/>
        <v>0.0624871866</v>
      </c>
      <c r="E17" s="12">
        <f t="shared" si="3"/>
        <v>-0.3205478901</v>
      </c>
      <c r="F17" s="13">
        <f t="shared" si="4"/>
        <v>0.1027509498</v>
      </c>
      <c r="G17" s="10">
        <v>0.01325</v>
      </c>
      <c r="H17" s="11">
        <v>2.4</v>
      </c>
      <c r="I17" s="12">
        <f t="shared" si="5"/>
        <v>0.2259712108</v>
      </c>
      <c r="J17" s="10">
        <f t="shared" si="6"/>
        <v>0.01331520799</v>
      </c>
      <c r="K17" s="12">
        <f t="shared" si="7"/>
        <v>0.004909287524</v>
      </c>
      <c r="L17" s="13">
        <f t="shared" si="8"/>
        <v>0.00002410110399</v>
      </c>
      <c r="M17" s="10">
        <v>0.00907</v>
      </c>
      <c r="N17" s="11">
        <v>1.43</v>
      </c>
      <c r="O17" s="12">
        <f t="shared" si="9"/>
        <v>0.1346411798</v>
      </c>
      <c r="P17" s="10">
        <f t="shared" si="10"/>
        <v>0.01412693892</v>
      </c>
      <c r="Q17" s="12">
        <f t="shared" si="11"/>
        <v>0.4431112719</v>
      </c>
      <c r="R17" s="13">
        <f t="shared" si="12"/>
        <v>0.1963475993</v>
      </c>
    </row>
    <row r="18">
      <c r="A18" s="10">
        <v>0.16</v>
      </c>
      <c r="B18" s="11">
        <v>5.06</v>
      </c>
      <c r="C18" s="12">
        <f t="shared" si="1"/>
        <v>0.4764226361</v>
      </c>
      <c r="D18" s="10">
        <f t="shared" si="2"/>
        <v>0.1259165783</v>
      </c>
      <c r="E18" s="12">
        <f t="shared" si="3"/>
        <v>-0.2395542043</v>
      </c>
      <c r="F18" s="13">
        <f t="shared" si="4"/>
        <v>0.05738621681</v>
      </c>
      <c r="G18" s="10">
        <v>0.02007</v>
      </c>
      <c r="H18" s="11">
        <v>2.734</v>
      </c>
      <c r="I18" s="12">
        <f t="shared" si="5"/>
        <v>0.2574188709</v>
      </c>
      <c r="J18" s="10">
        <f t="shared" si="6"/>
        <v>0.01951882508</v>
      </c>
      <c r="K18" s="12">
        <f t="shared" si="7"/>
        <v>-0.02784677432</v>
      </c>
      <c r="L18" s="13">
        <f t="shared" si="8"/>
        <v>0.0007754428402</v>
      </c>
      <c r="M18" s="10">
        <v>0.02423</v>
      </c>
      <c r="N18" s="11">
        <v>2.09</v>
      </c>
      <c r="O18" s="12">
        <f t="shared" si="9"/>
        <v>0.1967832627</v>
      </c>
      <c r="P18" s="10">
        <f t="shared" si="10"/>
        <v>0.0324806667</v>
      </c>
      <c r="Q18" s="12">
        <f t="shared" si="11"/>
        <v>0.2930535067</v>
      </c>
      <c r="R18" s="13">
        <f t="shared" si="12"/>
        <v>0.08588035778</v>
      </c>
    </row>
    <row r="19">
      <c r="A19" s="10">
        <v>0.31</v>
      </c>
      <c r="B19" s="11">
        <v>5.58</v>
      </c>
      <c r="C19" s="12">
        <f t="shared" si="1"/>
        <v>0.5253830651</v>
      </c>
      <c r="D19" s="10">
        <f t="shared" si="2"/>
        <v>0.2522313349</v>
      </c>
      <c r="E19" s="12">
        <f t="shared" si="3"/>
        <v>-0.2062256354</v>
      </c>
      <c r="F19" s="13">
        <f t="shared" si="4"/>
        <v>0.04252901272</v>
      </c>
      <c r="G19" s="10">
        <v>0.04515</v>
      </c>
      <c r="H19" s="11">
        <v>3.38</v>
      </c>
      <c r="I19" s="12">
        <f t="shared" si="5"/>
        <v>0.3182427885</v>
      </c>
      <c r="J19" s="10">
        <f t="shared" si="6"/>
        <v>0.04057160687</v>
      </c>
      <c r="K19" s="12">
        <f t="shared" si="7"/>
        <v>-0.106921796</v>
      </c>
      <c r="L19" s="13">
        <f t="shared" si="8"/>
        <v>0.01143227045</v>
      </c>
      <c r="M19" s="10">
        <v>0.0422</v>
      </c>
      <c r="N19" s="11">
        <v>2.49</v>
      </c>
      <c r="O19" s="12">
        <f t="shared" si="9"/>
        <v>0.2344451312</v>
      </c>
      <c r="P19" s="10">
        <f t="shared" si="10"/>
        <v>0.05181827343</v>
      </c>
      <c r="Q19" s="12">
        <f t="shared" si="11"/>
        <v>0.2053226349</v>
      </c>
      <c r="R19" s="13">
        <f t="shared" si="12"/>
        <v>0.04215738439</v>
      </c>
    </row>
    <row r="20">
      <c r="A20" s="10">
        <v>0.525</v>
      </c>
      <c r="B20" s="11">
        <v>6.04</v>
      </c>
      <c r="C20" s="12">
        <f t="shared" si="1"/>
        <v>0.5686942138</v>
      </c>
      <c r="D20" s="10">
        <f t="shared" si="2"/>
        <v>0.4885059299</v>
      </c>
      <c r="E20" s="12">
        <f t="shared" si="3"/>
        <v>-0.0720466522</v>
      </c>
      <c r="F20" s="13">
        <f t="shared" si="4"/>
        <v>0.005190720093</v>
      </c>
      <c r="G20" s="10">
        <v>0.09503</v>
      </c>
      <c r="H20" s="11">
        <v>4.05</v>
      </c>
      <c r="I20" s="12">
        <f t="shared" si="5"/>
        <v>0.3813264182</v>
      </c>
      <c r="J20" s="10">
        <f t="shared" si="6"/>
        <v>0.08772809285</v>
      </c>
      <c r="K20" s="12">
        <f t="shared" si="7"/>
        <v>-0.07995045421</v>
      </c>
      <c r="L20" s="13">
        <f t="shared" si="8"/>
        <v>0.006392075129</v>
      </c>
      <c r="M20" s="10">
        <v>0.07503</v>
      </c>
      <c r="N20" s="11">
        <v>2.9</v>
      </c>
      <c r="O20" s="12">
        <f t="shared" si="9"/>
        <v>0.2730485464</v>
      </c>
      <c r="P20" s="10">
        <f t="shared" si="10"/>
        <v>0.08266134094</v>
      </c>
      <c r="Q20" s="12">
        <f t="shared" si="11"/>
        <v>0.09686399771</v>
      </c>
      <c r="R20" s="13">
        <f t="shared" si="12"/>
        <v>0.009382634053</v>
      </c>
    </row>
    <row r="21" ht="15.75" customHeight="1">
      <c r="A21" s="10">
        <v>1.015</v>
      </c>
      <c r="B21" s="11">
        <v>6.52</v>
      </c>
      <c r="C21" s="12">
        <f t="shared" si="1"/>
        <v>0.6138884559</v>
      </c>
      <c r="D21" s="10">
        <f t="shared" si="2"/>
        <v>1.033609209</v>
      </c>
      <c r="E21" s="12">
        <f t="shared" si="3"/>
        <v>0.01816815135</v>
      </c>
      <c r="F21" s="13">
        <f t="shared" si="4"/>
        <v>0.0003300817235</v>
      </c>
      <c r="G21" s="10">
        <v>0.16</v>
      </c>
      <c r="H21" s="11">
        <v>4.49</v>
      </c>
      <c r="I21" s="12">
        <f t="shared" si="5"/>
        <v>0.4227544735</v>
      </c>
      <c r="J21" s="10">
        <f t="shared" si="6"/>
        <v>0.1482316631</v>
      </c>
      <c r="K21" s="12">
        <f t="shared" si="7"/>
        <v>-0.07639747409</v>
      </c>
      <c r="L21" s="13">
        <f t="shared" si="8"/>
        <v>0.005836574048</v>
      </c>
      <c r="M21" s="10">
        <v>0.145</v>
      </c>
      <c r="N21" s="11">
        <v>3.4</v>
      </c>
      <c r="O21" s="12">
        <f t="shared" si="9"/>
        <v>0.3201258819</v>
      </c>
      <c r="P21" s="10">
        <f t="shared" si="10"/>
        <v>0.1456022042</v>
      </c>
      <c r="Q21" s="12">
        <f t="shared" si="11"/>
        <v>0.004144532271</v>
      </c>
      <c r="R21" s="13">
        <f t="shared" si="12"/>
        <v>0.00001717714774</v>
      </c>
    </row>
    <row r="22" ht="15.75" customHeight="1">
      <c r="A22" s="10">
        <v>1.015</v>
      </c>
      <c r="B22" s="11">
        <v>6.5</v>
      </c>
      <c r="C22" s="12">
        <f t="shared" si="1"/>
        <v>0.6120053625</v>
      </c>
      <c r="D22" s="10">
        <f t="shared" si="2"/>
        <v>1.000404627</v>
      </c>
      <c r="E22" s="12">
        <f t="shared" si="3"/>
        <v>-0.01448406743</v>
      </c>
      <c r="F22" s="13">
        <f t="shared" si="4"/>
        <v>0.0002097882094</v>
      </c>
      <c r="G22" s="10">
        <v>0.22</v>
      </c>
      <c r="H22" s="11">
        <v>4.74</v>
      </c>
      <c r="I22" s="12">
        <f t="shared" si="5"/>
        <v>0.4462931413</v>
      </c>
      <c r="J22" s="10">
        <f t="shared" si="6"/>
        <v>0.201558735</v>
      </c>
      <c r="K22" s="12">
        <f t="shared" si="7"/>
        <v>-0.08754671838</v>
      </c>
      <c r="L22" s="13">
        <f t="shared" si="8"/>
        <v>0.007664427899</v>
      </c>
      <c r="M22" s="10">
        <v>0.27</v>
      </c>
      <c r="N22" s="11">
        <v>3.915</v>
      </c>
      <c r="O22" s="12">
        <f t="shared" si="9"/>
        <v>0.3686155376</v>
      </c>
      <c r="P22" s="10">
        <f t="shared" si="10"/>
        <v>0.2629032727</v>
      </c>
      <c r="Q22" s="12">
        <f t="shared" si="11"/>
        <v>-0.0266357789</v>
      </c>
      <c r="R22" s="13">
        <f t="shared" si="12"/>
        <v>0.0007094647178</v>
      </c>
    </row>
    <row r="23" ht="15.75" customHeight="1">
      <c r="A23" s="10">
        <v>1.445</v>
      </c>
      <c r="B23" s="11">
        <v>6.92</v>
      </c>
      <c r="C23" s="12">
        <f t="shared" si="1"/>
        <v>0.6515503244</v>
      </c>
      <c r="D23" s="10">
        <f t="shared" si="2"/>
        <v>2.047446022</v>
      </c>
      <c r="E23" s="12">
        <f t="shared" si="3"/>
        <v>0.3484838521</v>
      </c>
      <c r="F23" s="13">
        <f t="shared" si="4"/>
        <v>0.1214409952</v>
      </c>
      <c r="G23" s="10">
        <v>0.28</v>
      </c>
      <c r="H23" s="11">
        <v>4.96</v>
      </c>
      <c r="I23" s="12">
        <f t="shared" si="5"/>
        <v>0.4670071689</v>
      </c>
      <c r="J23" s="10">
        <f t="shared" si="6"/>
        <v>0.2659372427</v>
      </c>
      <c r="K23" s="12">
        <f t="shared" si="7"/>
        <v>-0.05152925194</v>
      </c>
      <c r="L23" s="13">
        <f t="shared" si="8"/>
        <v>0.002655263805</v>
      </c>
      <c r="M23" s="10">
        <v>0.39</v>
      </c>
      <c r="N23" s="11">
        <v>4.1</v>
      </c>
      <c r="O23" s="12">
        <f t="shared" si="9"/>
        <v>0.3860341517</v>
      </c>
      <c r="P23" s="10">
        <f t="shared" si="10"/>
        <v>0.3263749892</v>
      </c>
      <c r="Q23" s="12">
        <f t="shared" si="11"/>
        <v>-0.1780997451</v>
      </c>
      <c r="R23" s="13">
        <f t="shared" si="12"/>
        <v>0.0317195192</v>
      </c>
    </row>
    <row r="24" ht="15.75" customHeight="1">
      <c r="A24" s="10">
        <v>1.935</v>
      </c>
      <c r="B24" s="11">
        <v>6.96</v>
      </c>
      <c r="C24" s="12">
        <f t="shared" si="1"/>
        <v>0.6553165113</v>
      </c>
      <c r="D24" s="10">
        <f t="shared" si="2"/>
        <v>2.199936763</v>
      </c>
      <c r="E24" s="12">
        <f t="shared" si="3"/>
        <v>0.1283212896</v>
      </c>
      <c r="F24" s="13">
        <f t="shared" si="4"/>
        <v>0.01646635336</v>
      </c>
      <c r="G24" s="10">
        <v>0.37</v>
      </c>
      <c r="H24" s="11">
        <v>5.167</v>
      </c>
      <c r="I24" s="12">
        <f t="shared" si="5"/>
        <v>0.4864971859</v>
      </c>
      <c r="J24" s="10">
        <f t="shared" si="6"/>
        <v>0.3474559984</v>
      </c>
      <c r="K24" s="12">
        <f t="shared" si="7"/>
        <v>-0.06286497183</v>
      </c>
      <c r="L24" s="13">
        <f t="shared" si="8"/>
        <v>0.003952004683</v>
      </c>
      <c r="M24" s="10">
        <v>0.545</v>
      </c>
      <c r="N24" s="11">
        <v>4.329</v>
      </c>
      <c r="O24" s="12">
        <f t="shared" si="9"/>
        <v>0.4075955714</v>
      </c>
      <c r="P24" s="10">
        <f t="shared" si="10"/>
        <v>0.4282689537</v>
      </c>
      <c r="Q24" s="12">
        <f t="shared" si="11"/>
        <v>-0.2410343999</v>
      </c>
      <c r="R24" s="13">
        <f t="shared" si="12"/>
        <v>0.05809758195</v>
      </c>
    </row>
    <row r="25" ht="15.75" customHeight="1">
      <c r="A25" s="10">
        <v>2.28</v>
      </c>
      <c r="B25" s="11">
        <v>7.09</v>
      </c>
      <c r="C25" s="12">
        <f t="shared" si="1"/>
        <v>0.6675566185</v>
      </c>
      <c r="D25" s="10">
        <f t="shared" si="2"/>
        <v>2.792020122</v>
      </c>
      <c r="E25" s="12">
        <f t="shared" si="3"/>
        <v>0.202589949</v>
      </c>
      <c r="F25" s="13">
        <f t="shared" si="4"/>
        <v>0.04104268745</v>
      </c>
      <c r="G25" s="10">
        <v>0.485</v>
      </c>
      <c r="H25" s="11">
        <v>5.315</v>
      </c>
      <c r="I25" s="12">
        <f t="shared" si="5"/>
        <v>0.5004320772</v>
      </c>
      <c r="J25" s="10">
        <f t="shared" si="6"/>
        <v>0.4224827316</v>
      </c>
      <c r="K25" s="12">
        <f t="shared" si="7"/>
        <v>-0.138000317</v>
      </c>
      <c r="L25" s="13">
        <f t="shared" si="8"/>
        <v>0.01904408749</v>
      </c>
      <c r="M25" s="10">
        <v>0.705</v>
      </c>
      <c r="N25" s="11">
        <v>4.532</v>
      </c>
      <c r="O25" s="12">
        <f t="shared" si="9"/>
        <v>0.4267089697</v>
      </c>
      <c r="P25" s="10">
        <f t="shared" si="10"/>
        <v>0.5472878428</v>
      </c>
      <c r="Q25" s="12">
        <f t="shared" si="11"/>
        <v>-0.2532229179</v>
      </c>
      <c r="R25" s="13">
        <f t="shared" si="12"/>
        <v>0.06412184615</v>
      </c>
    </row>
    <row r="26" ht="15.75" customHeight="1">
      <c r="A26" s="10">
        <v>2.66</v>
      </c>
      <c r="B26" s="11">
        <v>7.22</v>
      </c>
      <c r="C26" s="12">
        <f t="shared" si="1"/>
        <v>0.6797967258</v>
      </c>
      <c r="D26" s="10">
        <f t="shared" si="2"/>
        <v>3.57159931</v>
      </c>
      <c r="E26" s="12">
        <f t="shared" si="3"/>
        <v>0.2946873587</v>
      </c>
      <c r="F26" s="13">
        <f t="shared" si="4"/>
        <v>0.08684063938</v>
      </c>
      <c r="G26" s="10">
        <v>0.57</v>
      </c>
      <c r="H26" s="11">
        <v>5.399</v>
      </c>
      <c r="I26" s="12">
        <f t="shared" si="5"/>
        <v>0.5083410696</v>
      </c>
      <c r="J26" s="10">
        <f t="shared" si="6"/>
        <v>0.4728859784</v>
      </c>
      <c r="K26" s="12">
        <f t="shared" si="7"/>
        <v>-0.1867820619</v>
      </c>
      <c r="L26" s="13">
        <f t="shared" si="8"/>
        <v>0.03488753866</v>
      </c>
      <c r="M26" s="10">
        <v>0.85</v>
      </c>
      <c r="N26" s="11">
        <v>4.74</v>
      </c>
      <c r="O26" s="12">
        <f t="shared" si="9"/>
        <v>0.4462931413</v>
      </c>
      <c r="P26" s="10">
        <f t="shared" si="10"/>
        <v>0.7071015355</v>
      </c>
      <c r="Q26" s="12">
        <f t="shared" si="11"/>
        <v>-0.1840620794</v>
      </c>
      <c r="R26" s="13">
        <f t="shared" si="12"/>
        <v>0.03387884907</v>
      </c>
    </row>
    <row r="27" ht="15.75" customHeight="1">
      <c r="A27" s="10">
        <v>3.2</v>
      </c>
      <c r="B27" s="11">
        <v>7.372</v>
      </c>
      <c r="C27" s="12">
        <f t="shared" si="1"/>
        <v>0.6941082358</v>
      </c>
      <c r="D27" s="10">
        <f t="shared" si="2"/>
        <v>4.815544196</v>
      </c>
      <c r="E27" s="12">
        <f t="shared" si="3"/>
        <v>0.4086982501</v>
      </c>
      <c r="F27" s="13">
        <f t="shared" si="4"/>
        <v>0.1670342596</v>
      </c>
      <c r="G27" s="10">
        <v>0.7</v>
      </c>
      <c r="H27" s="11">
        <v>5.586</v>
      </c>
      <c r="I27" s="12">
        <f t="shared" si="5"/>
        <v>0.5259479931</v>
      </c>
      <c r="J27" s="10">
        <f t="shared" si="6"/>
        <v>0.6107129258</v>
      </c>
      <c r="K27" s="12">
        <f t="shared" si="7"/>
        <v>-0.1364533295</v>
      </c>
      <c r="L27" s="13">
        <f t="shared" si="8"/>
        <v>0.01861951114</v>
      </c>
      <c r="M27" s="10">
        <v>1.01</v>
      </c>
      <c r="N27" s="11">
        <v>4.82</v>
      </c>
      <c r="O27" s="12">
        <f t="shared" si="9"/>
        <v>0.453825515</v>
      </c>
      <c r="P27" s="10">
        <f t="shared" si="10"/>
        <v>0.7814779342</v>
      </c>
      <c r="Q27" s="12">
        <f t="shared" si="11"/>
        <v>-0.2565186956</v>
      </c>
      <c r="R27" s="13">
        <f t="shared" si="12"/>
        <v>0.06580184117</v>
      </c>
    </row>
    <row r="28" ht="15.75" customHeight="1">
      <c r="G28" s="10">
        <v>0.875</v>
      </c>
      <c r="H28" s="11">
        <v>5.718</v>
      </c>
      <c r="I28" s="12">
        <f t="shared" si="5"/>
        <v>0.5383764097</v>
      </c>
      <c r="J28" s="10">
        <f t="shared" si="6"/>
        <v>0.7347340417</v>
      </c>
      <c r="K28" s="12">
        <f t="shared" si="7"/>
        <v>-0.1747153006</v>
      </c>
      <c r="L28" s="13">
        <f t="shared" si="8"/>
        <v>0.03052543628</v>
      </c>
      <c r="M28" s="10">
        <v>1.175</v>
      </c>
      <c r="N28" s="11">
        <v>4.93</v>
      </c>
      <c r="O28" s="12">
        <f t="shared" si="9"/>
        <v>0.4641825288</v>
      </c>
      <c r="P28" s="10">
        <f t="shared" si="10"/>
        <v>0.897983049</v>
      </c>
      <c r="Q28" s="12">
        <f t="shared" si="11"/>
        <v>-0.2688722349</v>
      </c>
      <c r="R28" s="13">
        <f t="shared" si="12"/>
        <v>0.07229227868</v>
      </c>
    </row>
    <row r="29" ht="15.75" customHeight="1">
      <c r="G29" s="10">
        <v>0.875</v>
      </c>
      <c r="H29" s="11">
        <v>5.718</v>
      </c>
      <c r="I29" s="12">
        <f t="shared" si="5"/>
        <v>0.5383764097</v>
      </c>
      <c r="J29" s="10">
        <f t="shared" si="6"/>
        <v>0.7347340417</v>
      </c>
      <c r="K29" s="12">
        <f t="shared" si="7"/>
        <v>-0.1747153006</v>
      </c>
      <c r="L29" s="13">
        <f t="shared" si="8"/>
        <v>0.03052543628</v>
      </c>
      <c r="M29" s="10">
        <v>1.455</v>
      </c>
      <c r="N29" s="11">
        <v>5.2</v>
      </c>
      <c r="O29" s="12">
        <f t="shared" si="9"/>
        <v>0.48960429</v>
      </c>
      <c r="P29" s="10">
        <f t="shared" si="10"/>
        <v>1.272829767</v>
      </c>
      <c r="Q29" s="12">
        <f t="shared" si="11"/>
        <v>-0.1337633161</v>
      </c>
      <c r="R29" s="13">
        <f t="shared" si="12"/>
        <v>0.01789262474</v>
      </c>
    </row>
    <row r="30" ht="15.75" customHeight="1">
      <c r="G30" s="10">
        <v>1.015</v>
      </c>
      <c r="H30" s="11">
        <v>5.803</v>
      </c>
      <c r="I30" s="12">
        <f t="shared" si="5"/>
        <v>0.5463795567</v>
      </c>
      <c r="J30" s="10">
        <f t="shared" si="6"/>
        <v>0.8293115041</v>
      </c>
      <c r="K30" s="12">
        <f t="shared" si="7"/>
        <v>-0.202048048</v>
      </c>
      <c r="L30" s="13">
        <f t="shared" si="8"/>
        <v>0.04082341372</v>
      </c>
      <c r="M30" s="10">
        <v>1.72</v>
      </c>
      <c r="N30" s="11">
        <v>5.24</v>
      </c>
      <c r="O30" s="12">
        <f t="shared" si="9"/>
        <v>0.4933704769</v>
      </c>
      <c r="P30" s="10">
        <f t="shared" si="10"/>
        <v>1.341696809</v>
      </c>
      <c r="Q30" s="12">
        <f t="shared" si="11"/>
        <v>-0.2483892023</v>
      </c>
      <c r="R30" s="13">
        <f t="shared" si="12"/>
        <v>0.06169719581</v>
      </c>
    </row>
    <row r="31" ht="15.75" customHeight="1">
      <c r="G31" s="10">
        <v>1.2</v>
      </c>
      <c r="H31" s="11">
        <v>5.942</v>
      </c>
      <c r="I31" s="12">
        <f t="shared" si="5"/>
        <v>0.559467056</v>
      </c>
      <c r="J31" s="10">
        <f t="shared" si="6"/>
        <v>1.014609603</v>
      </c>
      <c r="K31" s="12">
        <f t="shared" si="7"/>
        <v>-0.1678176461</v>
      </c>
      <c r="L31" s="13">
        <f t="shared" si="8"/>
        <v>0.02816276233</v>
      </c>
      <c r="M31" s="10">
        <v>2.125</v>
      </c>
      <c r="N31" s="11">
        <v>5.43</v>
      </c>
      <c r="O31" s="12">
        <f t="shared" si="9"/>
        <v>0.5112598644</v>
      </c>
      <c r="P31" s="10">
        <f t="shared" si="10"/>
        <v>1.72999667</v>
      </c>
      <c r="Q31" s="12">
        <f t="shared" si="11"/>
        <v>-0.2056523189</v>
      </c>
      <c r="R31" s="13">
        <f t="shared" si="12"/>
        <v>0.04229287625</v>
      </c>
    </row>
    <row r="32" ht="15.75" customHeight="1">
      <c r="G32" s="10">
        <v>1.505</v>
      </c>
      <c r="H32" s="11">
        <v>6.116</v>
      </c>
      <c r="I32" s="12">
        <f t="shared" si="5"/>
        <v>0.5758499688</v>
      </c>
      <c r="J32" s="10">
        <f t="shared" si="6"/>
        <v>1.314928549</v>
      </c>
      <c r="K32" s="12">
        <f t="shared" si="7"/>
        <v>-0.1350105691</v>
      </c>
      <c r="L32" s="13">
        <f t="shared" si="8"/>
        <v>0.01822785377</v>
      </c>
      <c r="M32" s="10">
        <v>2.695</v>
      </c>
      <c r="N32" s="11">
        <v>5.62</v>
      </c>
      <c r="O32" s="12">
        <f t="shared" si="9"/>
        <v>0.5291492519</v>
      </c>
      <c r="P32" s="10">
        <f t="shared" si="10"/>
        <v>2.246177735</v>
      </c>
      <c r="Q32" s="12">
        <f t="shared" si="11"/>
        <v>-0.1821682174</v>
      </c>
      <c r="R32" s="13">
        <f t="shared" si="12"/>
        <v>0.03318525942</v>
      </c>
    </row>
    <row r="33" ht="15.75" customHeight="1">
      <c r="G33" s="10">
        <v>1.83</v>
      </c>
      <c r="H33" s="11">
        <v>6.291</v>
      </c>
      <c r="I33" s="12">
        <f t="shared" si="5"/>
        <v>0.5923270362</v>
      </c>
      <c r="J33" s="10">
        <f t="shared" si="6"/>
        <v>1.720975815</v>
      </c>
      <c r="K33" s="12">
        <f t="shared" si="7"/>
        <v>-0.06142450287</v>
      </c>
      <c r="L33" s="13">
        <f t="shared" si="8"/>
        <v>0.003772969552</v>
      </c>
      <c r="M33" s="10">
        <v>3.395</v>
      </c>
      <c r="N33" s="11">
        <v>5.762</v>
      </c>
      <c r="O33" s="12">
        <f t="shared" si="9"/>
        <v>0.5425192152</v>
      </c>
      <c r="P33" s="10">
        <f t="shared" si="10"/>
        <v>2.743740626</v>
      </c>
      <c r="Q33" s="12">
        <f t="shared" si="11"/>
        <v>-0.2129815798</v>
      </c>
      <c r="R33" s="13">
        <f t="shared" si="12"/>
        <v>0.04536115335</v>
      </c>
    </row>
    <row r="34" ht="15.75" customHeight="1">
      <c r="G34" s="10">
        <v>2.235</v>
      </c>
      <c r="H34" s="11">
        <v>6.51</v>
      </c>
      <c r="I34" s="12">
        <f t="shared" si="5"/>
        <v>0.6129469092</v>
      </c>
      <c r="J34" s="10">
        <f t="shared" si="6"/>
        <v>2.44166063</v>
      </c>
      <c r="K34" s="12">
        <f t="shared" si="7"/>
        <v>0.0884371658</v>
      </c>
      <c r="L34" s="13">
        <f t="shared" si="8"/>
        <v>0.007821132295</v>
      </c>
    </row>
    <row r="35" ht="15.75" customHeight="1">
      <c r="G35" s="10">
        <v>2.5</v>
      </c>
      <c r="H35" s="11">
        <v>6.631</v>
      </c>
      <c r="I35" s="12">
        <f t="shared" si="5"/>
        <v>0.6243396244</v>
      </c>
      <c r="J35" s="10">
        <f t="shared" si="6"/>
        <v>2.982434636</v>
      </c>
      <c r="K35" s="12">
        <f t="shared" si="7"/>
        <v>0.176449227</v>
      </c>
      <c r="L35" s="13">
        <f t="shared" si="8"/>
        <v>0.03113432969</v>
      </c>
    </row>
    <row r="36" ht="15.75" customHeight="1">
      <c r="G36" s="10">
        <v>2.86</v>
      </c>
      <c r="H36" s="11">
        <v>6.769</v>
      </c>
      <c r="I36" s="12">
        <f t="shared" si="5"/>
        <v>0.6373329691</v>
      </c>
      <c r="J36" s="10">
        <f t="shared" si="6"/>
        <v>3.771044969</v>
      </c>
      <c r="K36" s="12">
        <f t="shared" si="7"/>
        <v>0.2765305183</v>
      </c>
      <c r="L36" s="13">
        <f t="shared" si="8"/>
        <v>0.07646912757</v>
      </c>
    </row>
    <row r="37" ht="15.75" customHeight="1">
      <c r="G37" s="10">
        <v>3.065</v>
      </c>
      <c r="H37" s="11">
        <v>6.885</v>
      </c>
      <c r="I37" s="12">
        <f t="shared" si="5"/>
        <v>0.6482549109</v>
      </c>
      <c r="J37" s="10">
        <f t="shared" si="6"/>
        <v>4.619366193</v>
      </c>
      <c r="K37" s="12">
        <f t="shared" si="7"/>
        <v>0.4102099387</v>
      </c>
      <c r="L37" s="13">
        <f t="shared" si="8"/>
        <v>0.1682721938</v>
      </c>
    </row>
    <row r="38" ht="15.75" customHeight="1">
      <c r="G38" s="10">
        <v>3.065</v>
      </c>
      <c r="H38" s="11">
        <v>6.82</v>
      </c>
      <c r="I38" s="12">
        <f t="shared" si="5"/>
        <v>0.6421348573</v>
      </c>
      <c r="J38" s="10">
        <f t="shared" si="6"/>
        <v>4.120179561</v>
      </c>
      <c r="K38" s="12">
        <f t="shared" si="7"/>
        <v>0.2958491758</v>
      </c>
      <c r="L38" s="13">
        <f t="shared" si="8"/>
        <v>0.08752673481</v>
      </c>
    </row>
    <row r="39" ht="15.75" customHeight="1">
      <c r="G39" s="10">
        <v>3.365</v>
      </c>
      <c r="H39" s="11">
        <v>6.92</v>
      </c>
      <c r="I39" s="12">
        <f t="shared" si="5"/>
        <v>0.6515503244</v>
      </c>
      <c r="J39" s="10">
        <f t="shared" si="6"/>
        <v>4.91630741</v>
      </c>
      <c r="K39" s="12">
        <f t="shared" si="7"/>
        <v>0.3791297593</v>
      </c>
      <c r="L39" s="13">
        <f t="shared" si="8"/>
        <v>0.1437393744</v>
      </c>
    </row>
    <row r="40" ht="15.75" customHeight="1"/>
    <row r="41" ht="15.75" customHeight="1">
      <c r="A41" s="5" t="s">
        <v>30</v>
      </c>
      <c r="B41" s="17">
        <f>SUM(F14:F27)</f>
        <v>0.7675513149</v>
      </c>
      <c r="G41" s="5" t="s">
        <v>31</v>
      </c>
      <c r="H41" s="17">
        <f>SUM(L14:L39)</f>
        <v>0.8294794542</v>
      </c>
      <c r="M41" s="5" t="s">
        <v>32</v>
      </c>
      <c r="N41" s="17">
        <f>SUM(R14:R33)</f>
        <v>1.491387381</v>
      </c>
    </row>
    <row r="42" ht="15.75" customHeight="1"/>
    <row r="43" ht="15.75" customHeight="1">
      <c r="A43" s="4" t="s">
        <v>33</v>
      </c>
      <c r="B43" s="18">
        <f>B41+H41+N41</f>
        <v>3.08841815</v>
      </c>
    </row>
    <row r="44" ht="15.75" customHeight="1">
      <c r="A44" s="5" t="s">
        <v>34</v>
      </c>
      <c r="B44" s="19">
        <v>0.9954</v>
      </c>
    </row>
    <row r="45" ht="15.75" customHeight="1"/>
    <row r="46" ht="15.75" customHeight="1">
      <c r="A46" s="4" t="s">
        <v>35</v>
      </c>
    </row>
    <row r="47" ht="15.75" customHeight="1">
      <c r="A47" s="9" t="s">
        <v>36</v>
      </c>
      <c r="B47" s="9" t="s">
        <v>37</v>
      </c>
      <c r="C47" s="9" t="s">
        <v>38</v>
      </c>
      <c r="D47" s="9" t="s">
        <v>39</v>
      </c>
    </row>
    <row r="48" ht="15.75" customHeight="1">
      <c r="A48" s="20">
        <v>298.0</v>
      </c>
      <c r="B48" s="12">
        <f>$B$8</f>
        <v>193.4091874</v>
      </c>
      <c r="C48" s="21">
        <f t="shared" ref="C48:C50" si="13">1/A48</f>
        <v>0.003355704698</v>
      </c>
      <c r="D48" s="10">
        <f t="shared" ref="D48:D50" si="14">LN(B48)</f>
        <v>5.264808087</v>
      </c>
    </row>
    <row r="49" ht="15.75" customHeight="1">
      <c r="A49" s="20">
        <v>308.0</v>
      </c>
      <c r="B49" s="12">
        <f>$B$9</f>
        <v>80.5472153</v>
      </c>
      <c r="C49" s="21">
        <f t="shared" si="13"/>
        <v>0.003246753247</v>
      </c>
      <c r="D49" s="10">
        <f t="shared" si="14"/>
        <v>4.388843538</v>
      </c>
    </row>
    <row r="50" ht="15.75" customHeight="1">
      <c r="A50" s="20">
        <v>323.0</v>
      </c>
      <c r="B50" s="12">
        <f>$B$10</f>
        <v>22.9599202</v>
      </c>
      <c r="C50" s="21">
        <f t="shared" si="13"/>
        <v>0.003095975232</v>
      </c>
      <c r="D50" s="10">
        <f t="shared" si="14"/>
        <v>3.133750096</v>
      </c>
    </row>
    <row r="51" ht="15.75" customHeight="1"/>
    <row r="52" ht="15.75" customHeight="1">
      <c r="A52" s="5" t="s">
        <v>41</v>
      </c>
      <c r="B52" s="24">
        <f>SLOPE(D48:D50,C48:C50)</f>
        <v>8212.279615</v>
      </c>
    </row>
    <row r="53" ht="15.75" customHeight="1">
      <c r="A53" s="5" t="s">
        <v>45</v>
      </c>
      <c r="B53" s="17">
        <f>RSQ(D48:D50,C48:C50)</f>
        <v>0.9999069574</v>
      </c>
    </row>
    <row r="54" ht="15.75" customHeight="1">
      <c r="A54" s="5" t="s">
        <v>48</v>
      </c>
      <c r="B54" s="19">
        <v>8.314</v>
      </c>
    </row>
    <row r="55" ht="15.75" customHeight="1">
      <c r="A55" s="4" t="s">
        <v>49</v>
      </c>
      <c r="B55" s="25">
        <f>-B52*B54/1000</f>
        <v>-68.27689272</v>
      </c>
      <c r="C55" s="3" t="s">
        <v>52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3:L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15" width="12.0"/>
    <col customWidth="1" min="16" max="41" width="8.71"/>
  </cols>
  <sheetData>
    <row r="1" ht="21.7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57</v>
      </c>
    </row>
    <row r="4">
      <c r="A4" s="4" t="s">
        <v>3</v>
      </c>
    </row>
    <row r="5">
      <c r="A5" s="5" t="s">
        <v>58</v>
      </c>
      <c r="B5" s="7">
        <v>10.01944907</v>
      </c>
    </row>
    <row r="6">
      <c r="A6" s="5" t="s">
        <v>59</v>
      </c>
      <c r="B6" s="7">
        <v>0.61141235</v>
      </c>
    </row>
    <row r="7">
      <c r="A7" s="5" t="s">
        <v>6</v>
      </c>
      <c r="B7" s="7">
        <v>0.85092137</v>
      </c>
    </row>
    <row r="8">
      <c r="A8" s="5" t="s">
        <v>7</v>
      </c>
      <c r="B8" s="7">
        <v>0.66653907</v>
      </c>
    </row>
    <row r="9">
      <c r="A9" s="5" t="s">
        <v>8</v>
      </c>
      <c r="B9" s="7">
        <v>0.52065128</v>
      </c>
    </row>
    <row r="11">
      <c r="A11" s="8" t="s">
        <v>9</v>
      </c>
      <c r="F11" s="8" t="s">
        <v>10</v>
      </c>
      <c r="K11" s="8" t="s">
        <v>11</v>
      </c>
    </row>
    <row r="12">
      <c r="A12" s="9" t="s">
        <v>60</v>
      </c>
      <c r="B12" s="9" t="s">
        <v>13</v>
      </c>
      <c r="C12" s="9" t="s">
        <v>61</v>
      </c>
      <c r="D12" s="9" t="s">
        <v>62</v>
      </c>
      <c r="E12" s="9" t="s">
        <v>63</v>
      </c>
      <c r="F12" s="9" t="s">
        <v>60</v>
      </c>
      <c r="G12" s="9" t="s">
        <v>13</v>
      </c>
      <c r="H12" s="9" t="s">
        <v>61</v>
      </c>
      <c r="I12" s="9" t="s">
        <v>62</v>
      </c>
      <c r="J12" s="9" t="s">
        <v>63</v>
      </c>
      <c r="K12" s="9" t="s">
        <v>60</v>
      </c>
      <c r="L12" s="9" t="s">
        <v>13</v>
      </c>
      <c r="M12" s="9" t="s">
        <v>61</v>
      </c>
      <c r="N12" s="9" t="s">
        <v>62</v>
      </c>
      <c r="O12" s="9" t="s">
        <v>63</v>
      </c>
    </row>
    <row r="13">
      <c r="A13" s="10">
        <v>0.0</v>
      </c>
      <c r="B13" s="11">
        <v>0.0</v>
      </c>
      <c r="C13" s="12">
        <f t="shared" ref="C13:C39" si="1">$B$5*$B$7*A13/(1+($B$7*A13)^$B$6)^(1/$B$6)</f>
        <v>0</v>
      </c>
      <c r="D13" s="12">
        <f t="shared" ref="D13:D39" si="2">C13-B13</f>
        <v>0</v>
      </c>
      <c r="E13" s="13">
        <f t="shared" ref="E13:E39" si="3">D13^2</f>
        <v>0</v>
      </c>
      <c r="F13" s="10">
        <v>0.0</v>
      </c>
      <c r="G13" s="11">
        <v>0.0</v>
      </c>
      <c r="H13" s="12">
        <f t="shared" ref="H13:H42" si="4">$B$5*$B$8*F13/(1+($B$8*F13)^$B$6)^(1/$B$6)</f>
        <v>0</v>
      </c>
      <c r="I13" s="12">
        <f t="shared" ref="I13:I42" si="5">H13-G13</f>
        <v>0</v>
      </c>
      <c r="J13" s="13">
        <f t="shared" ref="J13:J42" si="6">I13^2</f>
        <v>0</v>
      </c>
      <c r="K13" s="10">
        <v>0.0</v>
      </c>
      <c r="L13" s="11">
        <v>0.0</v>
      </c>
      <c r="M13" s="12">
        <f t="shared" ref="M13:M45" si="7">$B$5*$B$9*K13/(1+($B$9*K13)^$B$6)^(1/$B$6)</f>
        <v>0</v>
      </c>
      <c r="N13" s="12">
        <f t="shared" ref="N13:N45" si="8">M13-L13</f>
        <v>0</v>
      </c>
      <c r="O13" s="13">
        <f t="shared" ref="O13:O45" si="9">N13^2</f>
        <v>0</v>
      </c>
    </row>
    <row r="14">
      <c r="A14" s="10">
        <v>0.00405</v>
      </c>
      <c r="B14" s="11">
        <v>0.024</v>
      </c>
      <c r="C14" s="12">
        <f t="shared" si="1"/>
        <v>0.03283657976</v>
      </c>
      <c r="D14" s="12">
        <f t="shared" si="2"/>
        <v>0.008836579758</v>
      </c>
      <c r="E14" s="13">
        <f t="shared" si="3"/>
        <v>0.00007808514182</v>
      </c>
      <c r="F14" s="10">
        <v>0.00525</v>
      </c>
      <c r="G14" s="11">
        <v>0.022</v>
      </c>
      <c r="H14" s="12">
        <f t="shared" si="4"/>
        <v>0.03332701999</v>
      </c>
      <c r="I14" s="12">
        <f t="shared" si="5"/>
        <v>0.01132701999</v>
      </c>
      <c r="J14" s="13">
        <f t="shared" si="6"/>
        <v>0.0001283013818</v>
      </c>
      <c r="K14" s="10">
        <v>0.00603</v>
      </c>
      <c r="L14" s="11">
        <v>0.017</v>
      </c>
      <c r="M14" s="12">
        <f t="shared" si="7"/>
        <v>0.02999643401</v>
      </c>
      <c r="N14" s="12">
        <f t="shared" si="8"/>
        <v>0.01299643401</v>
      </c>
      <c r="O14" s="13">
        <f t="shared" si="9"/>
        <v>0.0001689072971</v>
      </c>
    </row>
    <row r="15">
      <c r="A15" s="10">
        <v>0.01203</v>
      </c>
      <c r="B15" s="11">
        <v>0.089</v>
      </c>
      <c r="C15" s="12">
        <f t="shared" si="1"/>
        <v>0.09313705017</v>
      </c>
      <c r="D15" s="12">
        <f t="shared" si="2"/>
        <v>0.004137050165</v>
      </c>
      <c r="E15" s="13">
        <f t="shared" si="3"/>
        <v>0.00001711518407</v>
      </c>
      <c r="F15" s="10">
        <v>0.01115</v>
      </c>
      <c r="G15" s="11">
        <v>0.064</v>
      </c>
      <c r="H15" s="12">
        <f t="shared" si="4"/>
        <v>0.06875988315</v>
      </c>
      <c r="I15" s="12">
        <f t="shared" si="5"/>
        <v>0.004759883146</v>
      </c>
      <c r="J15" s="13">
        <f t="shared" si="6"/>
        <v>0.00002265648757</v>
      </c>
      <c r="K15" s="10">
        <v>0.01215</v>
      </c>
      <c r="L15" s="11">
        <v>0.052</v>
      </c>
      <c r="M15" s="12">
        <f t="shared" si="7"/>
        <v>0.05895682946</v>
      </c>
      <c r="N15" s="12">
        <f t="shared" si="8"/>
        <v>0.006956829463</v>
      </c>
      <c r="O15" s="13">
        <f t="shared" si="9"/>
        <v>0.00004839747618</v>
      </c>
    </row>
    <row r="16">
      <c r="A16" s="10">
        <v>0.0191</v>
      </c>
      <c r="B16" s="11">
        <v>0.131</v>
      </c>
      <c r="C16" s="12">
        <f t="shared" si="1"/>
        <v>0.1434597018</v>
      </c>
      <c r="D16" s="12">
        <f t="shared" si="2"/>
        <v>0.01245970184</v>
      </c>
      <c r="E16" s="13">
        <f t="shared" si="3"/>
        <v>0.0001552441699</v>
      </c>
      <c r="F16" s="10">
        <v>0.0204</v>
      </c>
      <c r="G16" s="11">
        <v>0.109</v>
      </c>
      <c r="H16" s="12">
        <f t="shared" si="4"/>
        <v>0.1215502793</v>
      </c>
      <c r="I16" s="12">
        <f t="shared" si="5"/>
        <v>0.0125502793</v>
      </c>
      <c r="J16" s="13">
        <f t="shared" si="6"/>
        <v>0.0001575095104</v>
      </c>
      <c r="K16" s="10">
        <v>0.022</v>
      </c>
      <c r="L16" s="11">
        <v>0.09</v>
      </c>
      <c r="M16" s="12">
        <f t="shared" si="7"/>
        <v>0.1035261313</v>
      </c>
      <c r="N16" s="12">
        <f t="shared" si="8"/>
        <v>0.01352613132</v>
      </c>
      <c r="O16" s="13">
        <f t="shared" si="9"/>
        <v>0.0001829562285</v>
      </c>
    </row>
    <row r="17">
      <c r="A17" s="10">
        <v>0.05515</v>
      </c>
      <c r="B17" s="11">
        <v>0.326</v>
      </c>
      <c r="C17" s="12">
        <f t="shared" si="1"/>
        <v>0.3719621221</v>
      </c>
      <c r="D17" s="12">
        <f t="shared" si="2"/>
        <v>0.04596212215</v>
      </c>
      <c r="E17" s="13">
        <f t="shared" si="3"/>
        <v>0.002112516672</v>
      </c>
      <c r="F17" s="10">
        <v>0.04007</v>
      </c>
      <c r="G17" s="11">
        <v>0.21</v>
      </c>
      <c r="H17" s="12">
        <f t="shared" si="4"/>
        <v>0.2258933199</v>
      </c>
      <c r="I17" s="12">
        <f t="shared" si="5"/>
        <v>0.01589331992</v>
      </c>
      <c r="J17" s="13">
        <f t="shared" si="6"/>
        <v>0.0002525976181</v>
      </c>
      <c r="K17" s="10">
        <v>0.03302</v>
      </c>
      <c r="L17" s="11">
        <v>0.14</v>
      </c>
      <c r="M17" s="12">
        <f t="shared" si="7"/>
        <v>0.1511063316</v>
      </c>
      <c r="N17" s="12">
        <f t="shared" si="8"/>
        <v>0.0111063316</v>
      </c>
      <c r="O17" s="13">
        <f t="shared" si="9"/>
        <v>0.0001233506016</v>
      </c>
    </row>
    <row r="18">
      <c r="A18" s="10">
        <v>0.125</v>
      </c>
      <c r="B18" s="11">
        <v>0.712</v>
      </c>
      <c r="C18" s="12">
        <f t="shared" si="1"/>
        <v>0.7359118899</v>
      </c>
      <c r="D18" s="12">
        <f t="shared" si="2"/>
        <v>0.02391188988</v>
      </c>
      <c r="E18" s="13">
        <f t="shared" si="3"/>
        <v>0.0005717784774</v>
      </c>
      <c r="F18" s="10">
        <v>0.08516</v>
      </c>
      <c r="G18" s="11">
        <v>0.415</v>
      </c>
      <c r="H18" s="12">
        <f t="shared" si="4"/>
        <v>0.4380491445</v>
      </c>
      <c r="I18" s="12">
        <f t="shared" si="5"/>
        <v>0.0230491445</v>
      </c>
      <c r="J18" s="13">
        <f t="shared" si="6"/>
        <v>0.000531263062</v>
      </c>
      <c r="K18" s="10">
        <v>0.04612</v>
      </c>
      <c r="L18" s="11">
        <v>0.196</v>
      </c>
      <c r="M18" s="12">
        <f t="shared" si="7"/>
        <v>0.2051686625</v>
      </c>
      <c r="N18" s="12">
        <f t="shared" si="8"/>
        <v>0.009168662539</v>
      </c>
      <c r="O18" s="13">
        <f t="shared" si="9"/>
        <v>0.00008406437276</v>
      </c>
    </row>
    <row r="19">
      <c r="A19" s="10">
        <v>0.165</v>
      </c>
      <c r="B19" s="11">
        <v>0.877</v>
      </c>
      <c r="C19" s="12">
        <f t="shared" si="1"/>
        <v>0.9146649851</v>
      </c>
      <c r="D19" s="12">
        <f t="shared" si="2"/>
        <v>0.03766498508</v>
      </c>
      <c r="E19" s="13">
        <f t="shared" si="3"/>
        <v>0.001418651101</v>
      </c>
      <c r="F19" s="10">
        <v>0.135</v>
      </c>
      <c r="G19" s="11">
        <v>0.623</v>
      </c>
      <c r="H19" s="12">
        <f t="shared" si="4"/>
        <v>0.6431540181</v>
      </c>
      <c r="I19" s="12">
        <f t="shared" si="5"/>
        <v>0.02015401811</v>
      </c>
      <c r="J19" s="13">
        <f t="shared" si="6"/>
        <v>0.0004061844461</v>
      </c>
      <c r="K19" s="10">
        <v>0.05505</v>
      </c>
      <c r="L19" s="11">
        <v>0.227</v>
      </c>
      <c r="M19" s="12">
        <f t="shared" si="7"/>
        <v>0.2407055579</v>
      </c>
      <c r="N19" s="12">
        <f t="shared" si="8"/>
        <v>0.01370555787</v>
      </c>
      <c r="O19" s="13">
        <f t="shared" si="9"/>
        <v>0.0001878423166</v>
      </c>
    </row>
    <row r="20">
      <c r="A20" s="10">
        <v>0.21</v>
      </c>
      <c r="B20" s="11">
        <v>1.12</v>
      </c>
      <c r="C20" s="12">
        <f t="shared" si="1"/>
        <v>1.097364531</v>
      </c>
      <c r="D20" s="12">
        <f t="shared" si="2"/>
        <v>-0.02263546928</v>
      </c>
      <c r="E20" s="13">
        <f t="shared" si="3"/>
        <v>0.0005123644694</v>
      </c>
      <c r="F20" s="10">
        <v>0.135</v>
      </c>
      <c r="G20" s="11">
        <v>0.632</v>
      </c>
      <c r="H20" s="12">
        <f t="shared" si="4"/>
        <v>0.6431540181</v>
      </c>
      <c r="I20" s="12">
        <f t="shared" si="5"/>
        <v>0.01115401811</v>
      </c>
      <c r="J20" s="13">
        <f t="shared" si="6"/>
        <v>0.0001244121201</v>
      </c>
      <c r="K20" s="10">
        <v>0.0801</v>
      </c>
      <c r="L20" s="11">
        <v>0.312</v>
      </c>
      <c r="M20" s="12">
        <f t="shared" si="7"/>
        <v>0.3356413614</v>
      </c>
      <c r="N20" s="12">
        <f t="shared" si="8"/>
        <v>0.02364136141</v>
      </c>
      <c r="O20" s="13">
        <f t="shared" si="9"/>
        <v>0.0005589139694</v>
      </c>
    </row>
    <row r="21" ht="15.75" customHeight="1">
      <c r="A21" s="10">
        <v>0.306</v>
      </c>
      <c r="B21" s="11">
        <v>1.474</v>
      </c>
      <c r="C21" s="12">
        <f t="shared" si="1"/>
        <v>1.438205832</v>
      </c>
      <c r="D21" s="12">
        <f t="shared" si="2"/>
        <v>-0.03579416826</v>
      </c>
      <c r="E21" s="13">
        <f t="shared" si="3"/>
        <v>0.001281222481</v>
      </c>
      <c r="F21" s="10">
        <v>0.19</v>
      </c>
      <c r="G21" s="11">
        <v>0.823</v>
      </c>
      <c r="H21" s="12">
        <f t="shared" si="4"/>
        <v>0.8444723795</v>
      </c>
      <c r="I21" s="12">
        <f t="shared" si="5"/>
        <v>0.02147237953</v>
      </c>
      <c r="J21" s="13">
        <f t="shared" si="6"/>
        <v>0.0004610630825</v>
      </c>
      <c r="K21" s="10">
        <v>0.115</v>
      </c>
      <c r="L21" s="11">
        <v>0.432</v>
      </c>
      <c r="M21" s="12">
        <f t="shared" si="7"/>
        <v>0.458393056</v>
      </c>
      <c r="N21" s="12">
        <f t="shared" si="8"/>
        <v>0.02639305599</v>
      </c>
      <c r="O21" s="13">
        <f t="shared" si="9"/>
        <v>0.0006965934046</v>
      </c>
    </row>
    <row r="22" ht="15.75" customHeight="1">
      <c r="A22" s="10">
        <v>0.345</v>
      </c>
      <c r="B22" s="11">
        <v>1.617</v>
      </c>
      <c r="C22" s="12">
        <f t="shared" si="1"/>
        <v>1.561745524</v>
      </c>
      <c r="D22" s="12">
        <f t="shared" si="2"/>
        <v>-0.05525447573</v>
      </c>
      <c r="E22" s="13">
        <f t="shared" si="3"/>
        <v>0.003053057088</v>
      </c>
      <c r="F22" s="10">
        <v>0.28</v>
      </c>
      <c r="G22" s="11">
        <v>1.133</v>
      </c>
      <c r="H22" s="12">
        <f t="shared" si="4"/>
        <v>1.133170354</v>
      </c>
      <c r="I22" s="12">
        <f t="shared" si="5"/>
        <v>0.000170354061</v>
      </c>
      <c r="J22" s="13">
        <f t="shared" si="6"/>
        <v>0.00000002902050611</v>
      </c>
      <c r="K22" s="10">
        <v>0.165</v>
      </c>
      <c r="L22" s="11">
        <v>0.59</v>
      </c>
      <c r="M22" s="12">
        <f t="shared" si="7"/>
        <v>0.6192971883</v>
      </c>
      <c r="N22" s="12">
        <f t="shared" si="8"/>
        <v>0.02929718827</v>
      </c>
      <c r="O22" s="13">
        <f t="shared" si="9"/>
        <v>0.0008583252403</v>
      </c>
    </row>
    <row r="23" ht="15.75" customHeight="1">
      <c r="A23" s="10">
        <v>0.425</v>
      </c>
      <c r="B23" s="11">
        <v>1.83</v>
      </c>
      <c r="C23" s="12">
        <f t="shared" si="1"/>
        <v>1.794047775</v>
      </c>
      <c r="D23" s="12">
        <f t="shared" si="2"/>
        <v>-0.03595222533</v>
      </c>
      <c r="E23" s="13">
        <f t="shared" si="3"/>
        <v>0.001292562506</v>
      </c>
      <c r="F23" s="10">
        <v>0.31</v>
      </c>
      <c r="G23" s="11">
        <v>1.232</v>
      </c>
      <c r="H23" s="12">
        <f t="shared" si="4"/>
        <v>1.220586014</v>
      </c>
      <c r="I23" s="12">
        <f t="shared" si="5"/>
        <v>-0.01141398574</v>
      </c>
      <c r="J23" s="13">
        <f t="shared" si="6"/>
        <v>0.0001302790706</v>
      </c>
      <c r="K23" s="10">
        <v>0.24</v>
      </c>
      <c r="L23" s="11">
        <v>0.731</v>
      </c>
      <c r="M23" s="12">
        <f t="shared" si="7"/>
        <v>0.83568615</v>
      </c>
      <c r="N23" s="12">
        <f t="shared" si="8"/>
        <v>0.10468615</v>
      </c>
      <c r="O23" s="13">
        <f t="shared" si="9"/>
        <v>0.01095918999</v>
      </c>
    </row>
    <row r="24" ht="15.75" customHeight="1">
      <c r="A24" s="10">
        <v>0.631</v>
      </c>
      <c r="B24" s="11">
        <v>2.357</v>
      </c>
      <c r="C24" s="12">
        <f t="shared" si="1"/>
        <v>2.294517772</v>
      </c>
      <c r="D24" s="12">
        <f t="shared" si="2"/>
        <v>-0.06248222835</v>
      </c>
      <c r="E24" s="13">
        <f t="shared" si="3"/>
        <v>0.00390402886</v>
      </c>
      <c r="F24" s="10">
        <v>0.35</v>
      </c>
      <c r="G24" s="11">
        <v>1.36</v>
      </c>
      <c r="H24" s="12">
        <f t="shared" si="4"/>
        <v>1.331464619</v>
      </c>
      <c r="I24" s="12">
        <f t="shared" si="5"/>
        <v>-0.02853538129</v>
      </c>
      <c r="J24" s="13">
        <f t="shared" si="6"/>
        <v>0.0008142679855</v>
      </c>
      <c r="K24" s="10">
        <v>0.34</v>
      </c>
      <c r="L24" s="11">
        <v>1.009</v>
      </c>
      <c r="M24" s="12">
        <f t="shared" si="7"/>
        <v>1.089737535</v>
      </c>
      <c r="N24" s="12">
        <f t="shared" si="8"/>
        <v>0.0807375354</v>
      </c>
      <c r="O24" s="13">
        <f t="shared" si="9"/>
        <v>0.006518549623</v>
      </c>
    </row>
    <row r="25" ht="15.75" customHeight="1">
      <c r="A25" s="10">
        <v>0.819</v>
      </c>
      <c r="B25" s="11">
        <v>2.726</v>
      </c>
      <c r="C25" s="12">
        <f t="shared" si="1"/>
        <v>2.665381051</v>
      </c>
      <c r="D25" s="12">
        <f t="shared" si="2"/>
        <v>-0.06061894862</v>
      </c>
      <c r="E25" s="13">
        <f t="shared" si="3"/>
        <v>0.003674656932</v>
      </c>
      <c r="F25" s="10">
        <v>0.445</v>
      </c>
      <c r="G25" s="11">
        <v>1.618</v>
      </c>
      <c r="H25" s="12">
        <f t="shared" si="4"/>
        <v>1.572705232</v>
      </c>
      <c r="I25" s="12">
        <f t="shared" si="5"/>
        <v>-0.0452947675</v>
      </c>
      <c r="J25" s="13">
        <f t="shared" si="6"/>
        <v>0.002051615963</v>
      </c>
      <c r="K25" s="10">
        <v>0.34</v>
      </c>
      <c r="L25" s="11">
        <v>1.009</v>
      </c>
      <c r="M25" s="12">
        <f t="shared" si="7"/>
        <v>1.089737535</v>
      </c>
      <c r="N25" s="12">
        <f t="shared" si="8"/>
        <v>0.0807375354</v>
      </c>
      <c r="O25" s="13">
        <f t="shared" si="9"/>
        <v>0.006518549623</v>
      </c>
    </row>
    <row r="26" ht="15.75" customHeight="1">
      <c r="A26" s="10">
        <v>1.07</v>
      </c>
      <c r="B26" s="11">
        <v>3.06</v>
      </c>
      <c r="C26" s="12">
        <f t="shared" si="1"/>
        <v>3.074940773</v>
      </c>
      <c r="D26" s="12">
        <f t="shared" si="2"/>
        <v>0.01494077338</v>
      </c>
      <c r="E26" s="13">
        <f t="shared" si="3"/>
        <v>0.0002232267091</v>
      </c>
      <c r="F26" s="10">
        <v>0.585</v>
      </c>
      <c r="G26" s="11">
        <v>1.931</v>
      </c>
      <c r="H26" s="12">
        <f t="shared" si="4"/>
        <v>1.883389596</v>
      </c>
      <c r="I26" s="12">
        <f t="shared" si="5"/>
        <v>-0.04761040447</v>
      </c>
      <c r="J26" s="13">
        <f t="shared" si="6"/>
        <v>0.002266750614</v>
      </c>
      <c r="K26" s="10">
        <v>0.4</v>
      </c>
      <c r="L26" s="11">
        <v>1.193</v>
      </c>
      <c r="M26" s="12">
        <f t="shared" si="7"/>
        <v>1.227558941</v>
      </c>
      <c r="N26" s="12">
        <f t="shared" si="8"/>
        <v>0.03455894081</v>
      </c>
      <c r="O26" s="13">
        <f t="shared" si="9"/>
        <v>0.00119432039</v>
      </c>
    </row>
    <row r="27" ht="15.75" customHeight="1">
      <c r="A27" s="10">
        <v>1.18</v>
      </c>
      <c r="B27" s="11">
        <v>3.26</v>
      </c>
      <c r="C27" s="12">
        <f t="shared" si="1"/>
        <v>3.231299166</v>
      </c>
      <c r="D27" s="12">
        <f t="shared" si="2"/>
        <v>-0.02870083362</v>
      </c>
      <c r="E27" s="13">
        <f t="shared" si="3"/>
        <v>0.0008237378506</v>
      </c>
      <c r="F27" s="10">
        <v>0.585</v>
      </c>
      <c r="G27" s="11">
        <v>1.932</v>
      </c>
      <c r="H27" s="12">
        <f t="shared" si="4"/>
        <v>1.883389596</v>
      </c>
      <c r="I27" s="12">
        <f t="shared" si="5"/>
        <v>-0.04861040447</v>
      </c>
      <c r="J27" s="13">
        <f t="shared" si="6"/>
        <v>0.002362971423</v>
      </c>
      <c r="K27" s="10">
        <v>0.51</v>
      </c>
      <c r="L27" s="11">
        <v>1.423</v>
      </c>
      <c r="M27" s="12">
        <f t="shared" si="7"/>
        <v>1.457875681</v>
      </c>
      <c r="N27" s="12">
        <f t="shared" si="8"/>
        <v>0.03487568122</v>
      </c>
      <c r="O27" s="13">
        <f t="shared" si="9"/>
        <v>0.00121631314</v>
      </c>
    </row>
    <row r="28" ht="15.75" customHeight="1">
      <c r="A28" s="10">
        <v>1.41</v>
      </c>
      <c r="B28" s="11">
        <v>3.53</v>
      </c>
      <c r="C28" s="12">
        <f t="shared" si="1"/>
        <v>3.523266865</v>
      </c>
      <c r="D28" s="12">
        <f t="shared" si="2"/>
        <v>-0.006733134596</v>
      </c>
      <c r="E28" s="13">
        <f t="shared" si="3"/>
        <v>0.00004533510148</v>
      </c>
      <c r="F28" s="10">
        <v>0.695</v>
      </c>
      <c r="G28" s="11">
        <v>2.154</v>
      </c>
      <c r="H28" s="12">
        <f t="shared" si="4"/>
        <v>2.098563345</v>
      </c>
      <c r="I28" s="12">
        <f t="shared" si="5"/>
        <v>-0.05543665524</v>
      </c>
      <c r="J28" s="13">
        <f t="shared" si="6"/>
        <v>0.003073222744</v>
      </c>
      <c r="K28" s="10">
        <v>0.505</v>
      </c>
      <c r="L28" s="11">
        <v>1.395</v>
      </c>
      <c r="M28" s="12">
        <f t="shared" si="7"/>
        <v>1.447957026</v>
      </c>
      <c r="N28" s="12">
        <f t="shared" si="8"/>
        <v>0.05295702629</v>
      </c>
      <c r="O28" s="13">
        <f t="shared" si="9"/>
        <v>0.002804446633</v>
      </c>
    </row>
    <row r="29" ht="15.75" customHeight="1">
      <c r="A29" s="10">
        <v>1.72</v>
      </c>
      <c r="B29" s="11">
        <v>3.834</v>
      </c>
      <c r="C29" s="12">
        <f t="shared" si="1"/>
        <v>3.858304208</v>
      </c>
      <c r="D29" s="12">
        <f t="shared" si="2"/>
        <v>0.02430420791</v>
      </c>
      <c r="E29" s="13">
        <f t="shared" si="3"/>
        <v>0.0005906945221</v>
      </c>
      <c r="F29" s="10">
        <v>0.78</v>
      </c>
      <c r="G29" s="11">
        <v>2.342</v>
      </c>
      <c r="H29" s="12">
        <f t="shared" si="4"/>
        <v>2.25083703</v>
      </c>
      <c r="I29" s="12">
        <f t="shared" si="5"/>
        <v>-0.09116296988</v>
      </c>
      <c r="J29" s="13">
        <f t="shared" si="6"/>
        <v>0.008310687078</v>
      </c>
      <c r="K29" s="10">
        <v>0.635</v>
      </c>
      <c r="L29" s="11">
        <v>1.653</v>
      </c>
      <c r="M29" s="12">
        <f t="shared" si="7"/>
        <v>1.691394669</v>
      </c>
      <c r="N29" s="12">
        <f t="shared" si="8"/>
        <v>0.03839466902</v>
      </c>
      <c r="O29" s="13">
        <f t="shared" si="9"/>
        <v>0.001474150609</v>
      </c>
    </row>
    <row r="30" ht="15.75" customHeight="1">
      <c r="A30" s="10">
        <v>1.89</v>
      </c>
      <c r="B30" s="11">
        <v>3.991</v>
      </c>
      <c r="C30" s="12">
        <f t="shared" si="1"/>
        <v>4.019763529</v>
      </c>
      <c r="D30" s="12">
        <f t="shared" si="2"/>
        <v>0.02876352934</v>
      </c>
      <c r="E30" s="13">
        <f t="shared" si="3"/>
        <v>0.0008273406198</v>
      </c>
      <c r="F30" s="10">
        <v>0.875</v>
      </c>
      <c r="G30" s="11">
        <v>2.466</v>
      </c>
      <c r="H30" s="12">
        <f t="shared" si="4"/>
        <v>2.408810453</v>
      </c>
      <c r="I30" s="12">
        <f t="shared" si="5"/>
        <v>-0.05718954716</v>
      </c>
      <c r="J30" s="13">
        <f t="shared" si="6"/>
        <v>0.003270644305</v>
      </c>
      <c r="K30" s="10">
        <v>0.78</v>
      </c>
      <c r="L30" s="11">
        <v>1.929</v>
      </c>
      <c r="M30" s="12">
        <f t="shared" si="7"/>
        <v>1.932830659</v>
      </c>
      <c r="N30" s="12">
        <f t="shared" si="8"/>
        <v>0.003830659382</v>
      </c>
      <c r="O30" s="13">
        <f t="shared" si="9"/>
        <v>0.0000146739513</v>
      </c>
    </row>
    <row r="31" ht="15.75" customHeight="1">
      <c r="A31" s="10">
        <v>2.175</v>
      </c>
      <c r="B31" s="11">
        <v>4.198</v>
      </c>
      <c r="C31" s="12">
        <f t="shared" si="1"/>
        <v>4.262474258</v>
      </c>
      <c r="D31" s="12">
        <f t="shared" si="2"/>
        <v>0.06447425795</v>
      </c>
      <c r="E31" s="13">
        <f t="shared" si="3"/>
        <v>0.004156929938</v>
      </c>
      <c r="F31" s="10">
        <v>1.11</v>
      </c>
      <c r="G31" s="11">
        <v>2.792</v>
      </c>
      <c r="H31" s="12">
        <f t="shared" si="4"/>
        <v>2.754592912</v>
      </c>
      <c r="I31" s="12">
        <f t="shared" si="5"/>
        <v>-0.03740708786</v>
      </c>
      <c r="J31" s="13">
        <f t="shared" si="6"/>
        <v>0.001399290222</v>
      </c>
      <c r="K31" s="10">
        <v>0.865</v>
      </c>
      <c r="L31" s="11">
        <v>2.077</v>
      </c>
      <c r="M31" s="12">
        <f t="shared" si="7"/>
        <v>2.06233352</v>
      </c>
      <c r="N31" s="12">
        <f t="shared" si="8"/>
        <v>-0.01466648018</v>
      </c>
      <c r="O31" s="13">
        <f t="shared" si="9"/>
        <v>0.0002151056408</v>
      </c>
    </row>
    <row r="32" ht="15.75" customHeight="1">
      <c r="A32" s="10">
        <v>2.61</v>
      </c>
      <c r="B32" s="11">
        <v>4.506</v>
      </c>
      <c r="C32" s="12">
        <f t="shared" si="1"/>
        <v>4.579638797</v>
      </c>
      <c r="D32" s="12">
        <f t="shared" si="2"/>
        <v>0.07363879656</v>
      </c>
      <c r="E32" s="13">
        <f t="shared" si="3"/>
        <v>0.005422672358</v>
      </c>
      <c r="F32" s="10">
        <v>1.48</v>
      </c>
      <c r="G32" s="11">
        <v>3.201</v>
      </c>
      <c r="H32" s="12">
        <f t="shared" si="4"/>
        <v>3.202797737</v>
      </c>
      <c r="I32" s="12">
        <f t="shared" si="5"/>
        <v>0.001797736923</v>
      </c>
      <c r="J32" s="13">
        <f t="shared" si="6"/>
        <v>0.000003231858045</v>
      </c>
      <c r="K32" s="10">
        <v>0.955</v>
      </c>
      <c r="L32" s="11">
        <v>2.211</v>
      </c>
      <c r="M32" s="12">
        <f t="shared" si="7"/>
        <v>2.191212467</v>
      </c>
      <c r="N32" s="12">
        <f t="shared" si="8"/>
        <v>-0.01978753314</v>
      </c>
      <c r="O32" s="13">
        <f t="shared" si="9"/>
        <v>0.0003915464677</v>
      </c>
    </row>
    <row r="33" ht="15.75" customHeight="1">
      <c r="A33" s="10">
        <v>2.985</v>
      </c>
      <c r="B33" s="11">
        <v>4.75</v>
      </c>
      <c r="C33" s="12">
        <f t="shared" si="1"/>
        <v>4.813375945</v>
      </c>
      <c r="D33" s="12">
        <f t="shared" si="2"/>
        <v>0.06337594479</v>
      </c>
      <c r="E33" s="13">
        <f t="shared" si="3"/>
        <v>0.004016510378</v>
      </c>
      <c r="F33" s="10">
        <v>1.7</v>
      </c>
      <c r="G33" s="11">
        <v>3.409</v>
      </c>
      <c r="H33" s="12">
        <f t="shared" si="4"/>
        <v>3.428554123</v>
      </c>
      <c r="I33" s="12">
        <f t="shared" si="5"/>
        <v>0.01955412258</v>
      </c>
      <c r="J33" s="13">
        <f t="shared" si="6"/>
        <v>0.0003823637098</v>
      </c>
      <c r="K33" s="10">
        <v>1.185</v>
      </c>
      <c r="L33" s="11">
        <v>2.545</v>
      </c>
      <c r="M33" s="12">
        <f t="shared" si="7"/>
        <v>2.488350446</v>
      </c>
      <c r="N33" s="12">
        <f t="shared" si="8"/>
        <v>-0.05664955354</v>
      </c>
      <c r="O33" s="13">
        <f t="shared" si="9"/>
        <v>0.003209171916</v>
      </c>
    </row>
    <row r="34" ht="15.75" customHeight="1">
      <c r="A34" s="10">
        <v>3.365</v>
      </c>
      <c r="B34" s="11">
        <v>4.987</v>
      </c>
      <c r="C34" s="12">
        <f t="shared" si="1"/>
        <v>5.021260301</v>
      </c>
      <c r="D34" s="12">
        <f t="shared" si="2"/>
        <v>0.03426030084</v>
      </c>
      <c r="E34" s="13">
        <f t="shared" si="3"/>
        <v>0.001173768214</v>
      </c>
      <c r="F34" s="10">
        <v>1.79</v>
      </c>
      <c r="G34" s="11">
        <v>3.48</v>
      </c>
      <c r="H34" s="12">
        <f t="shared" si="4"/>
        <v>3.513962629</v>
      </c>
      <c r="I34" s="12">
        <f t="shared" si="5"/>
        <v>0.03396262946</v>
      </c>
      <c r="J34" s="13">
        <f t="shared" si="6"/>
        <v>0.0011534602</v>
      </c>
      <c r="K34" s="10">
        <v>1.495</v>
      </c>
      <c r="L34" s="11">
        <v>2.89</v>
      </c>
      <c r="M34" s="12">
        <f t="shared" si="7"/>
        <v>2.83142141</v>
      </c>
      <c r="N34" s="12">
        <f t="shared" si="8"/>
        <v>-0.05857859017</v>
      </c>
      <c r="O34" s="13">
        <f t="shared" si="9"/>
        <v>0.003431451226</v>
      </c>
    </row>
    <row r="35" ht="15.75" customHeight="1">
      <c r="A35" s="10">
        <v>3.56</v>
      </c>
      <c r="B35" s="11">
        <v>5.103</v>
      </c>
      <c r="C35" s="12">
        <f t="shared" si="1"/>
        <v>5.11854672</v>
      </c>
      <c r="D35" s="12">
        <f t="shared" si="2"/>
        <v>0.01554672009</v>
      </c>
      <c r="E35" s="13">
        <f t="shared" si="3"/>
        <v>0.0002417005055</v>
      </c>
      <c r="F35" s="10">
        <v>2.17</v>
      </c>
      <c r="G35" s="11">
        <v>3.781</v>
      </c>
      <c r="H35" s="12">
        <f t="shared" si="4"/>
        <v>3.838160207</v>
      </c>
      <c r="I35" s="12">
        <f t="shared" si="5"/>
        <v>0.05716020746</v>
      </c>
      <c r="J35" s="13">
        <f t="shared" si="6"/>
        <v>0.003267289317</v>
      </c>
      <c r="K35" s="10">
        <v>1.695</v>
      </c>
      <c r="L35" s="11">
        <v>3.067</v>
      </c>
      <c r="M35" s="12">
        <f t="shared" si="7"/>
        <v>3.025742018</v>
      </c>
      <c r="N35" s="12">
        <f t="shared" si="8"/>
        <v>-0.04125798221</v>
      </c>
      <c r="O35" s="13">
        <f t="shared" si="9"/>
        <v>0.001702221096</v>
      </c>
    </row>
    <row r="36" ht="15.75" customHeight="1">
      <c r="A36" s="10">
        <v>3.745</v>
      </c>
      <c r="B36" s="11">
        <v>5.191</v>
      </c>
      <c r="C36" s="12">
        <f t="shared" si="1"/>
        <v>5.205719429</v>
      </c>
      <c r="D36" s="12">
        <f t="shared" si="2"/>
        <v>0.01471942897</v>
      </c>
      <c r="E36" s="13">
        <f t="shared" si="3"/>
        <v>0.0002166615892</v>
      </c>
      <c r="F36" s="10">
        <v>2.53</v>
      </c>
      <c r="G36" s="11">
        <v>4.038</v>
      </c>
      <c r="H36" s="12">
        <f t="shared" si="4"/>
        <v>4.101471139</v>
      </c>
      <c r="I36" s="12">
        <f t="shared" si="5"/>
        <v>0.06347113907</v>
      </c>
      <c r="J36" s="13">
        <f t="shared" si="6"/>
        <v>0.004028585494</v>
      </c>
      <c r="K36" s="10">
        <v>1.86</v>
      </c>
      <c r="L36" s="11">
        <v>3.169</v>
      </c>
      <c r="M36" s="12">
        <f t="shared" si="7"/>
        <v>3.17312914</v>
      </c>
      <c r="N36" s="12">
        <f t="shared" si="8"/>
        <v>0.004129139576</v>
      </c>
      <c r="O36" s="13">
        <f t="shared" si="9"/>
        <v>0.00001704979364</v>
      </c>
    </row>
    <row r="37" ht="15.75" customHeight="1">
      <c r="A37" s="10">
        <v>3.745</v>
      </c>
      <c r="B37" s="11">
        <v>5.191</v>
      </c>
      <c r="C37" s="12">
        <f t="shared" si="1"/>
        <v>5.205719429</v>
      </c>
      <c r="D37" s="12">
        <f t="shared" si="2"/>
        <v>0.01471942897</v>
      </c>
      <c r="E37" s="13">
        <f t="shared" si="3"/>
        <v>0.0002166615892</v>
      </c>
      <c r="F37" s="10">
        <v>2.535</v>
      </c>
      <c r="G37" s="11">
        <v>4.034</v>
      </c>
      <c r="H37" s="12">
        <f t="shared" si="4"/>
        <v>4.104878842</v>
      </c>
      <c r="I37" s="12">
        <f t="shared" si="5"/>
        <v>0.07087884248</v>
      </c>
      <c r="J37" s="13">
        <f t="shared" si="6"/>
        <v>0.005023810311</v>
      </c>
      <c r="K37" s="10">
        <v>2.425</v>
      </c>
      <c r="L37" s="11">
        <v>3.577</v>
      </c>
      <c r="M37" s="12">
        <f t="shared" si="7"/>
        <v>3.608431821</v>
      </c>
      <c r="N37" s="12">
        <f t="shared" si="8"/>
        <v>0.03143182095</v>
      </c>
      <c r="O37" s="13">
        <f t="shared" si="9"/>
        <v>0.0009879593683</v>
      </c>
    </row>
    <row r="38" ht="15.75" customHeight="1">
      <c r="A38" s="10">
        <v>4.26</v>
      </c>
      <c r="B38" s="11">
        <v>5.469</v>
      </c>
      <c r="C38" s="12">
        <f t="shared" si="1"/>
        <v>5.425735649</v>
      </c>
      <c r="D38" s="12">
        <f t="shared" si="2"/>
        <v>-0.04326435087</v>
      </c>
      <c r="E38" s="13">
        <f t="shared" si="3"/>
        <v>0.001871804056</v>
      </c>
      <c r="F38" s="10">
        <v>2.84</v>
      </c>
      <c r="G38" s="11">
        <v>4.236</v>
      </c>
      <c r="H38" s="12">
        <f t="shared" si="4"/>
        <v>4.301621095</v>
      </c>
      <c r="I38" s="12">
        <f t="shared" si="5"/>
        <v>0.06562109515</v>
      </c>
      <c r="J38" s="13">
        <f t="shared" si="6"/>
        <v>0.004306128129</v>
      </c>
      <c r="K38" s="10">
        <v>2.57</v>
      </c>
      <c r="L38" s="11">
        <v>3.67</v>
      </c>
      <c r="M38" s="12">
        <f t="shared" si="7"/>
        <v>3.706129399</v>
      </c>
      <c r="N38" s="12">
        <f t="shared" si="8"/>
        <v>0.03612939921</v>
      </c>
      <c r="O38" s="13">
        <f t="shared" si="9"/>
        <v>0.001305333487</v>
      </c>
    </row>
    <row r="39" ht="15.75" customHeight="1">
      <c r="A39" s="10">
        <v>4.725</v>
      </c>
      <c r="B39" s="11">
        <v>5.719</v>
      </c>
      <c r="C39" s="12">
        <f t="shared" si="1"/>
        <v>5.600478527</v>
      </c>
      <c r="D39" s="12">
        <f t="shared" si="2"/>
        <v>-0.1185214726</v>
      </c>
      <c r="E39" s="13">
        <f t="shared" si="3"/>
        <v>0.01404733946</v>
      </c>
      <c r="F39" s="10">
        <v>3.64</v>
      </c>
      <c r="G39" s="11">
        <v>4.702</v>
      </c>
      <c r="H39" s="12">
        <f t="shared" si="4"/>
        <v>4.733625564</v>
      </c>
      <c r="I39" s="12">
        <f t="shared" si="5"/>
        <v>0.03162556427</v>
      </c>
      <c r="J39" s="13">
        <f t="shared" si="6"/>
        <v>0.001000176315</v>
      </c>
      <c r="K39" s="10">
        <v>3.015</v>
      </c>
      <c r="L39" s="11">
        <v>3.933</v>
      </c>
      <c r="M39" s="12">
        <f t="shared" si="7"/>
        <v>3.978152536</v>
      </c>
      <c r="N39" s="12">
        <f t="shared" si="8"/>
        <v>0.04515253618</v>
      </c>
      <c r="O39" s="13">
        <f t="shared" si="9"/>
        <v>0.002038751524</v>
      </c>
    </row>
    <row r="40" ht="15.75" customHeight="1">
      <c r="F40" s="10">
        <v>4.015</v>
      </c>
      <c r="G40" s="11">
        <v>4.884</v>
      </c>
      <c r="H40" s="12">
        <f t="shared" si="4"/>
        <v>4.904093517</v>
      </c>
      <c r="I40" s="12">
        <f t="shared" si="5"/>
        <v>0.02009351736</v>
      </c>
      <c r="J40" s="13">
        <f t="shared" si="6"/>
        <v>0.0004037494399</v>
      </c>
      <c r="K40" s="10">
        <v>3.425</v>
      </c>
      <c r="L40" s="11">
        <v>4.199</v>
      </c>
      <c r="M40" s="12">
        <f t="shared" si="7"/>
        <v>4.198053669</v>
      </c>
      <c r="N40" s="12">
        <f t="shared" si="8"/>
        <v>-0.0009463309285</v>
      </c>
      <c r="O40" s="13">
        <f t="shared" si="9"/>
        <v>0.0000008955422262</v>
      </c>
    </row>
    <row r="41" ht="15.75" customHeight="1">
      <c r="F41" s="10">
        <v>4.49</v>
      </c>
      <c r="G41" s="11">
        <v>5.127</v>
      </c>
      <c r="H41" s="12">
        <f t="shared" si="4"/>
        <v>5.097629717</v>
      </c>
      <c r="I41" s="12">
        <f t="shared" si="5"/>
        <v>-0.02937028324</v>
      </c>
      <c r="J41" s="13">
        <f t="shared" si="6"/>
        <v>0.0008626135378</v>
      </c>
      <c r="K41" s="10">
        <v>3.425</v>
      </c>
      <c r="L41" s="11">
        <v>4.2</v>
      </c>
      <c r="M41" s="12">
        <f t="shared" si="7"/>
        <v>4.198053669</v>
      </c>
      <c r="N41" s="12">
        <f t="shared" si="8"/>
        <v>-0.001946330928</v>
      </c>
      <c r="O41" s="13">
        <f t="shared" si="9"/>
        <v>0.000003788204083</v>
      </c>
    </row>
    <row r="42" ht="15.75" customHeight="1">
      <c r="F42" s="10">
        <v>4.72</v>
      </c>
      <c r="G42" s="11">
        <v>5.234</v>
      </c>
      <c r="H42" s="12">
        <f t="shared" si="4"/>
        <v>5.18366767</v>
      </c>
      <c r="I42" s="12">
        <f t="shared" si="5"/>
        <v>-0.05033232978</v>
      </c>
      <c r="J42" s="13">
        <f t="shared" si="6"/>
        <v>0.002533343421</v>
      </c>
      <c r="K42" s="10">
        <v>3.67</v>
      </c>
      <c r="L42" s="11">
        <v>4.341</v>
      </c>
      <c r="M42" s="12">
        <f t="shared" si="7"/>
        <v>4.317893519</v>
      </c>
      <c r="N42" s="12">
        <f t="shared" si="8"/>
        <v>-0.02310648144</v>
      </c>
      <c r="O42" s="13">
        <f t="shared" si="9"/>
        <v>0.0005339094847</v>
      </c>
    </row>
    <row r="43" ht="15.75" customHeight="1">
      <c r="K43" s="10">
        <v>4.18</v>
      </c>
      <c r="L43" s="11">
        <v>4.585</v>
      </c>
      <c r="M43" s="12">
        <f t="shared" si="7"/>
        <v>4.544313446</v>
      </c>
      <c r="N43" s="12">
        <f t="shared" si="8"/>
        <v>-0.04068655402</v>
      </c>
      <c r="O43" s="13">
        <f t="shared" si="9"/>
        <v>0.001655395678</v>
      </c>
    </row>
    <row r="44" ht="15.75" customHeight="1">
      <c r="K44" s="10">
        <v>4.445</v>
      </c>
      <c r="L44" s="11">
        <v>4.706</v>
      </c>
      <c r="M44" s="12">
        <f t="shared" si="7"/>
        <v>4.651393816</v>
      </c>
      <c r="N44" s="12">
        <f t="shared" si="8"/>
        <v>-0.05460618367</v>
      </c>
      <c r="O44" s="13">
        <f t="shared" si="9"/>
        <v>0.002981835295</v>
      </c>
    </row>
    <row r="45" ht="15.75" customHeight="1">
      <c r="K45" s="10">
        <v>4.745</v>
      </c>
      <c r="L45" s="11">
        <v>4.83</v>
      </c>
      <c r="M45" s="12">
        <f t="shared" si="7"/>
        <v>4.76510922</v>
      </c>
      <c r="N45" s="12">
        <f t="shared" si="8"/>
        <v>-0.06489078006</v>
      </c>
      <c r="O45" s="13">
        <f t="shared" si="9"/>
        <v>0.004210813336</v>
      </c>
    </row>
    <row r="46" ht="15.75" customHeight="1"/>
    <row r="47" ht="15.75" customHeight="1">
      <c r="A47" s="5" t="s">
        <v>90</v>
      </c>
      <c r="B47" s="17">
        <f>SUM(E13:E39)</f>
        <v>0.05194566598</v>
      </c>
      <c r="F47" s="5" t="s">
        <v>91</v>
      </c>
      <c r="G47" s="17">
        <f>SUM(J13:J42)</f>
        <v>0.04872849787</v>
      </c>
      <c r="K47" s="5" t="s">
        <v>92</v>
      </c>
      <c r="L47" s="17">
        <f>SUM(O13:O45)</f>
        <v>0.05629477293</v>
      </c>
    </row>
    <row r="48" ht="15.75" customHeight="1">
      <c r="A48" s="5" t="s">
        <v>93</v>
      </c>
      <c r="B48" s="17">
        <f>1-B47/DEVSQ(B13:B39)</f>
        <v>0.9994828389</v>
      </c>
      <c r="F48" s="5" t="s">
        <v>94</v>
      </c>
      <c r="G48" s="17">
        <f>1-G47/DEVSQ(G13:G42)</f>
        <v>0.9994254248</v>
      </c>
      <c r="K48" s="5" t="s">
        <v>95</v>
      </c>
      <c r="L48" s="17">
        <f>1-L47/DEVSQ(L13:L45)</f>
        <v>0.9993558985</v>
      </c>
    </row>
    <row r="49" ht="15.75" customHeight="1"/>
    <row r="50" ht="15.75" customHeight="1">
      <c r="A50" s="4" t="s">
        <v>33</v>
      </c>
      <c r="B50" s="18">
        <f>B47+G47+L47</f>
        <v>0.1569689368</v>
      </c>
    </row>
    <row r="51" ht="15.75" customHeight="1"/>
    <row r="52" ht="15.75" customHeight="1">
      <c r="A52" s="4" t="s">
        <v>35</v>
      </c>
    </row>
    <row r="53" ht="15.75" customHeight="1">
      <c r="A53" s="9" t="s">
        <v>36</v>
      </c>
      <c r="B53" s="9" t="s">
        <v>37</v>
      </c>
      <c r="C53" s="9" t="s">
        <v>38</v>
      </c>
      <c r="D53" s="9" t="s">
        <v>39</v>
      </c>
    </row>
    <row r="54" ht="15.75" customHeight="1">
      <c r="A54" s="20">
        <v>298.0</v>
      </c>
      <c r="B54" s="12">
        <f>$B$7</f>
        <v>0.85092137</v>
      </c>
      <c r="C54" s="21">
        <f t="shared" ref="C54:C56" si="10">1/A54</f>
        <v>0.003355704698</v>
      </c>
      <c r="D54" s="10">
        <f t="shared" ref="D54:D56" si="11">LN(B54)</f>
        <v>-0.1614355519</v>
      </c>
    </row>
    <row r="55" ht="15.75" customHeight="1">
      <c r="A55" s="20">
        <v>308.0</v>
      </c>
      <c r="B55" s="12">
        <f>$B$8</f>
        <v>0.66653907</v>
      </c>
      <c r="C55" s="21">
        <f t="shared" si="10"/>
        <v>0.003246753247</v>
      </c>
      <c r="D55" s="10">
        <f t="shared" si="11"/>
        <v>-0.4056565214</v>
      </c>
    </row>
    <row r="56" ht="15.75" customHeight="1">
      <c r="A56" s="20">
        <v>323.0</v>
      </c>
      <c r="B56" s="12">
        <f>$B$9</f>
        <v>0.52065128</v>
      </c>
      <c r="C56" s="21">
        <f t="shared" si="10"/>
        <v>0.003095975232</v>
      </c>
      <c r="D56" s="10">
        <f t="shared" si="11"/>
        <v>-0.6526747895</v>
      </c>
    </row>
    <row r="57" ht="15.75" customHeight="1"/>
    <row r="58" ht="15.75" customHeight="1">
      <c r="A58" s="5" t="s">
        <v>41</v>
      </c>
      <c r="B58" s="24">
        <f>SLOPE(D54:D56,C54:C56)</f>
        <v>1875.713164</v>
      </c>
    </row>
    <row r="59" ht="15.75" customHeight="1">
      <c r="A59" s="5" t="s">
        <v>96</v>
      </c>
      <c r="B59" s="26">
        <f>INTERCEPT(D54:D56,C54:C56)</f>
        <v>-6.470415214</v>
      </c>
    </row>
    <row r="60" ht="15.75" customHeight="1">
      <c r="A60" s="5" t="s">
        <v>45</v>
      </c>
      <c r="B60" s="17">
        <f>RSQ(D54:D56,C54:C56)</f>
        <v>0.992025046</v>
      </c>
    </row>
    <row r="61" ht="15.75" customHeight="1">
      <c r="A61" s="5" t="s">
        <v>48</v>
      </c>
      <c r="B61" s="19">
        <v>8.314</v>
      </c>
    </row>
    <row r="62" ht="15.75" customHeight="1">
      <c r="A62" s="4" t="s">
        <v>49</v>
      </c>
      <c r="B62" s="25">
        <f>-B58*B61/1000</f>
        <v>-15.59467925</v>
      </c>
      <c r="C62" s="3" t="s">
        <v>99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18" width="12.0"/>
    <col customWidth="1" min="19" max="26" width="8.71"/>
  </cols>
  <sheetData>
    <row r="1" ht="21.75" customHeight="1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1</v>
      </c>
    </row>
    <row r="3">
      <c r="A3" s="3" t="s">
        <v>2</v>
      </c>
    </row>
    <row r="5">
      <c r="A5" s="4" t="s">
        <v>3</v>
      </c>
    </row>
    <row r="6">
      <c r="A6" s="5" t="s">
        <v>4</v>
      </c>
      <c r="B6" s="6">
        <v>10.01944907</v>
      </c>
    </row>
    <row r="7">
      <c r="A7" s="5" t="s">
        <v>5</v>
      </c>
      <c r="B7" s="7">
        <v>2.16669536</v>
      </c>
    </row>
    <row r="8">
      <c r="A8" s="5" t="s">
        <v>6</v>
      </c>
      <c r="B8" s="7">
        <v>0.6626558</v>
      </c>
    </row>
    <row r="9">
      <c r="A9" s="5" t="s">
        <v>7</v>
      </c>
      <c r="B9" s="7">
        <v>0.51645324</v>
      </c>
    </row>
    <row r="10">
      <c r="A10" s="5" t="s">
        <v>8</v>
      </c>
      <c r="B10" s="7">
        <v>0.39595626</v>
      </c>
    </row>
    <row r="12">
      <c r="A12" s="8" t="s">
        <v>9</v>
      </c>
      <c r="G12" s="8" t="s">
        <v>10</v>
      </c>
      <c r="M12" s="8" t="s">
        <v>11</v>
      </c>
    </row>
    <row r="13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12</v>
      </c>
      <c r="H13" s="9" t="s">
        <v>13</v>
      </c>
      <c r="I13" s="9" t="s">
        <v>14</v>
      </c>
      <c r="J13" s="9" t="s">
        <v>15</v>
      </c>
      <c r="K13" s="9" t="s">
        <v>16</v>
      </c>
      <c r="L13" s="9" t="s">
        <v>17</v>
      </c>
      <c r="M13" s="9" t="s">
        <v>12</v>
      </c>
      <c r="N13" s="9" t="s">
        <v>13</v>
      </c>
      <c r="O13" s="9" t="s">
        <v>14</v>
      </c>
      <c r="P13" s="9" t="s">
        <v>15</v>
      </c>
      <c r="Q13" s="9" t="s">
        <v>16</v>
      </c>
      <c r="R13" s="9" t="s">
        <v>17</v>
      </c>
    </row>
    <row r="14">
      <c r="A14" s="10">
        <v>0.00405</v>
      </c>
      <c r="B14" s="11">
        <v>0.024</v>
      </c>
      <c r="C14" s="12">
        <f t="shared" ref="C14:C39" si="1">B14/$B$6</f>
        <v>0.002395341284</v>
      </c>
      <c r="D14" s="10">
        <f t="shared" ref="D14:D39" si="2">C14/($B$8*(1-C14)^$B$7)</f>
        <v>0.003633591303</v>
      </c>
      <c r="E14" s="12">
        <f t="shared" ref="E14:E39" si="3">LN(D14)-LN(A14)</f>
        <v>-0.1084953823</v>
      </c>
      <c r="F14" s="13">
        <f t="shared" ref="F14:F39" si="4">E14^2</f>
        <v>0.01177124797</v>
      </c>
      <c r="G14" s="10">
        <v>0.00525</v>
      </c>
      <c r="H14" s="11">
        <v>0.022</v>
      </c>
      <c r="I14" s="12">
        <f t="shared" ref="I14:I42" si="5">H14/$B$6</f>
        <v>0.00219572951</v>
      </c>
      <c r="J14" s="10">
        <f t="shared" ref="J14:J42" si="6">I14/($B$9*(1-I14)^$B$7)</f>
        <v>0.004271852513</v>
      </c>
      <c r="K14" s="12">
        <f t="shared" ref="K14:K42" si="7">LN(J14)-LN(G14)</f>
        <v>-0.2061804997</v>
      </c>
      <c r="L14" s="13">
        <f t="shared" ref="L14:L42" si="8">K14^2</f>
        <v>0.04251039847</v>
      </c>
      <c r="M14" s="10">
        <v>0.00603</v>
      </c>
      <c r="N14" s="11">
        <v>0.017</v>
      </c>
      <c r="O14" s="12">
        <f t="shared" ref="O14:O45" si="9">N14/$B$6</f>
        <v>0.001696700076</v>
      </c>
      <c r="P14" s="10">
        <f t="shared" ref="P14:P45" si="10">O14/($B$10*(1-O14)^$B$7)</f>
        <v>0.004300864787</v>
      </c>
      <c r="Q14" s="12">
        <f t="shared" ref="Q14:Q45" si="11">LN(P14)-LN(M14)</f>
        <v>-0.337930895</v>
      </c>
      <c r="R14" s="13">
        <f t="shared" ref="R14:R45" si="12">Q14^2</f>
        <v>0.1141972898</v>
      </c>
    </row>
    <row r="15">
      <c r="A15" s="10">
        <v>0.01203</v>
      </c>
      <c r="B15" s="11">
        <v>0.089</v>
      </c>
      <c r="C15" s="12">
        <f t="shared" si="1"/>
        <v>0.008882723928</v>
      </c>
      <c r="D15" s="10">
        <f t="shared" si="2"/>
        <v>0.01366639614</v>
      </c>
      <c r="E15" s="12">
        <f t="shared" si="3"/>
        <v>0.127536453</v>
      </c>
      <c r="F15" s="13">
        <f t="shared" si="4"/>
        <v>0.01626554686</v>
      </c>
      <c r="G15" s="10">
        <v>0.01115</v>
      </c>
      <c r="H15" s="11">
        <v>0.064</v>
      </c>
      <c r="I15" s="12">
        <f t="shared" si="5"/>
        <v>0.006387576757</v>
      </c>
      <c r="J15" s="10">
        <f t="shared" si="6"/>
        <v>0.0125410821</v>
      </c>
      <c r="K15" s="12">
        <f t="shared" si="7"/>
        <v>0.1175703252</v>
      </c>
      <c r="L15" s="13">
        <f t="shared" si="8"/>
        <v>0.01382278136</v>
      </c>
      <c r="M15" s="10">
        <v>0.01215</v>
      </c>
      <c r="N15" s="11">
        <v>0.052</v>
      </c>
      <c r="O15" s="12">
        <f t="shared" si="9"/>
        <v>0.005189906115</v>
      </c>
      <c r="P15" s="10">
        <f t="shared" si="10"/>
        <v>0.01325588179</v>
      </c>
      <c r="Q15" s="12">
        <f t="shared" si="11"/>
        <v>0.08711219302</v>
      </c>
      <c r="R15" s="13">
        <f t="shared" si="12"/>
        <v>0.007588534172</v>
      </c>
    </row>
    <row r="16">
      <c r="A16" s="10">
        <v>0.0191</v>
      </c>
      <c r="B16" s="11">
        <v>0.131</v>
      </c>
      <c r="C16" s="12">
        <f t="shared" si="1"/>
        <v>0.01307457117</v>
      </c>
      <c r="D16" s="10">
        <f t="shared" si="2"/>
        <v>0.02030128585</v>
      </c>
      <c r="E16" s="12">
        <f t="shared" si="3"/>
        <v>0.06099589113</v>
      </c>
      <c r="F16" s="13">
        <f t="shared" si="4"/>
        <v>0.003720498735</v>
      </c>
      <c r="G16" s="10">
        <v>0.0204</v>
      </c>
      <c r="H16" s="11">
        <v>0.109</v>
      </c>
      <c r="I16" s="12">
        <f t="shared" si="5"/>
        <v>0.01087884166</v>
      </c>
      <c r="J16" s="10">
        <f t="shared" si="6"/>
        <v>0.02156972227</v>
      </c>
      <c r="K16" s="12">
        <f t="shared" si="7"/>
        <v>0.05575568383</v>
      </c>
      <c r="L16" s="13">
        <f t="shared" si="8"/>
        <v>0.003108696279</v>
      </c>
      <c r="M16" s="10">
        <v>0.022</v>
      </c>
      <c r="N16" s="11">
        <v>0.09</v>
      </c>
      <c r="O16" s="12">
        <f t="shared" si="9"/>
        <v>0.008982529815</v>
      </c>
      <c r="P16" s="10">
        <f t="shared" si="10"/>
        <v>0.02313353812</v>
      </c>
      <c r="Q16" s="12">
        <f t="shared" si="11"/>
        <v>0.05024097772</v>
      </c>
      <c r="R16" s="13">
        <f t="shared" si="12"/>
        <v>0.002524155843</v>
      </c>
    </row>
    <row r="17">
      <c r="A17" s="10">
        <v>0.05515</v>
      </c>
      <c r="B17" s="11">
        <v>0.326</v>
      </c>
      <c r="C17" s="12">
        <f t="shared" si="1"/>
        <v>0.03253671911</v>
      </c>
      <c r="D17" s="10">
        <f t="shared" si="2"/>
        <v>0.05274866062</v>
      </c>
      <c r="E17" s="12">
        <f t="shared" si="3"/>
        <v>-0.04451836475</v>
      </c>
      <c r="F17" s="13">
        <f t="shared" si="4"/>
        <v>0.0019818848</v>
      </c>
      <c r="G17" s="10">
        <v>0.04007</v>
      </c>
      <c r="H17" s="11">
        <v>0.21</v>
      </c>
      <c r="I17" s="12">
        <f t="shared" si="5"/>
        <v>0.02095923623</v>
      </c>
      <c r="J17" s="10">
        <f t="shared" si="6"/>
        <v>0.04248898585</v>
      </c>
      <c r="K17" s="12">
        <f t="shared" si="7"/>
        <v>0.05861696119</v>
      </c>
      <c r="L17" s="13">
        <f t="shared" si="8"/>
        <v>0.003435948139</v>
      </c>
      <c r="M17" s="10">
        <v>0.03302</v>
      </c>
      <c r="N17" s="11">
        <v>0.14</v>
      </c>
      <c r="O17" s="12">
        <f t="shared" si="9"/>
        <v>0.01397282416</v>
      </c>
      <c r="P17" s="10">
        <f t="shared" si="10"/>
        <v>0.03638127419</v>
      </c>
      <c r="Q17" s="12">
        <f t="shared" si="11"/>
        <v>0.09694075841</v>
      </c>
      <c r="R17" s="13">
        <f t="shared" si="12"/>
        <v>0.009397510642</v>
      </c>
    </row>
    <row r="18">
      <c r="A18" s="10">
        <v>0.125</v>
      </c>
      <c r="B18" s="11">
        <v>0.712</v>
      </c>
      <c r="C18" s="12">
        <f t="shared" si="1"/>
        <v>0.07106179142</v>
      </c>
      <c r="D18" s="10">
        <f t="shared" si="2"/>
        <v>0.1258087776</v>
      </c>
      <c r="E18" s="12">
        <f t="shared" si="3"/>
        <v>0.006449378998</v>
      </c>
      <c r="F18" s="13">
        <f t="shared" si="4"/>
        <v>0.00004159448946</v>
      </c>
      <c r="G18" s="10">
        <v>0.08516</v>
      </c>
      <c r="H18" s="11">
        <v>0.415</v>
      </c>
      <c r="I18" s="12">
        <f t="shared" si="5"/>
        <v>0.04141944304</v>
      </c>
      <c r="J18" s="10">
        <f t="shared" si="6"/>
        <v>0.08789788821</v>
      </c>
      <c r="K18" s="12">
        <f t="shared" si="7"/>
        <v>0.03164393943</v>
      </c>
      <c r="L18" s="13">
        <f t="shared" si="8"/>
        <v>0.001001338902</v>
      </c>
      <c r="M18" s="10">
        <v>0.04612</v>
      </c>
      <c r="N18" s="11">
        <v>0.196</v>
      </c>
      <c r="O18" s="12">
        <f t="shared" si="9"/>
        <v>0.01956195382</v>
      </c>
      <c r="P18" s="10">
        <f t="shared" si="10"/>
        <v>0.0515649884</v>
      </c>
      <c r="Q18" s="12">
        <f t="shared" si="11"/>
        <v>0.1115962274</v>
      </c>
      <c r="R18" s="13">
        <f t="shared" si="12"/>
        <v>0.01245371797</v>
      </c>
    </row>
    <row r="19">
      <c r="A19" s="10">
        <v>0.165</v>
      </c>
      <c r="B19" s="11">
        <v>0.877</v>
      </c>
      <c r="C19" s="12">
        <f t="shared" si="1"/>
        <v>0.08752976275</v>
      </c>
      <c r="D19" s="10">
        <f t="shared" si="2"/>
        <v>0.1610874436</v>
      </c>
      <c r="E19" s="12">
        <f t="shared" si="3"/>
        <v>-0.02399812871</v>
      </c>
      <c r="F19" s="13">
        <f t="shared" si="4"/>
        <v>0.0005759101814</v>
      </c>
      <c r="G19" s="10">
        <v>0.135</v>
      </c>
      <c r="H19" s="11">
        <v>0.623</v>
      </c>
      <c r="I19" s="12">
        <f t="shared" si="5"/>
        <v>0.0621790675</v>
      </c>
      <c r="J19" s="10">
        <f t="shared" si="6"/>
        <v>0.1383632752</v>
      </c>
      <c r="K19" s="12">
        <f t="shared" si="7"/>
        <v>0.02460787691</v>
      </c>
      <c r="L19" s="13">
        <f t="shared" si="8"/>
        <v>0.0006055476059</v>
      </c>
      <c r="M19" s="10">
        <v>0.05505</v>
      </c>
      <c r="N19" s="11">
        <v>0.227</v>
      </c>
      <c r="O19" s="12">
        <f t="shared" si="9"/>
        <v>0.02265593631</v>
      </c>
      <c r="P19" s="10">
        <f t="shared" si="10"/>
        <v>0.06013106306</v>
      </c>
      <c r="Q19" s="12">
        <f t="shared" si="11"/>
        <v>0.08828470101</v>
      </c>
      <c r="R19" s="13">
        <f t="shared" si="12"/>
        <v>0.007794188433</v>
      </c>
    </row>
    <row r="20">
      <c r="A20" s="10">
        <v>0.21</v>
      </c>
      <c r="B20" s="11">
        <v>1.12</v>
      </c>
      <c r="C20" s="12">
        <f t="shared" si="1"/>
        <v>0.1117825933</v>
      </c>
      <c r="D20" s="10">
        <f t="shared" si="2"/>
        <v>0.2180867167</v>
      </c>
      <c r="E20" s="12">
        <f t="shared" si="3"/>
        <v>0.03778523619</v>
      </c>
      <c r="F20" s="13">
        <f t="shared" si="4"/>
        <v>0.001427724074</v>
      </c>
      <c r="G20" s="10">
        <v>0.135</v>
      </c>
      <c r="H20" s="11">
        <v>0.632</v>
      </c>
      <c r="I20" s="12">
        <f t="shared" si="5"/>
        <v>0.06307732048</v>
      </c>
      <c r="J20" s="10">
        <f t="shared" si="6"/>
        <v>0.1406538355</v>
      </c>
      <c r="K20" s="12">
        <f t="shared" si="7"/>
        <v>0.04102702627</v>
      </c>
      <c r="L20" s="13">
        <f t="shared" si="8"/>
        <v>0.001683216885</v>
      </c>
      <c r="M20" s="10">
        <v>0.0801</v>
      </c>
      <c r="N20" s="11">
        <v>0.312</v>
      </c>
      <c r="O20" s="12">
        <f t="shared" si="9"/>
        <v>0.03113943669</v>
      </c>
      <c r="P20" s="10">
        <f t="shared" si="10"/>
        <v>0.08422308833</v>
      </c>
      <c r="Q20" s="12">
        <f t="shared" si="11"/>
        <v>0.05019323778</v>
      </c>
      <c r="R20" s="13">
        <f t="shared" si="12"/>
        <v>0.002519361119</v>
      </c>
    </row>
    <row r="21" ht="15.75" customHeight="1">
      <c r="A21" s="10">
        <v>0.306</v>
      </c>
      <c r="B21" s="11">
        <v>1.474</v>
      </c>
      <c r="C21" s="12">
        <f t="shared" si="1"/>
        <v>0.1471138772</v>
      </c>
      <c r="D21" s="10">
        <f t="shared" si="2"/>
        <v>0.3134033853</v>
      </c>
      <c r="E21" s="12">
        <f t="shared" si="3"/>
        <v>0.02390602976</v>
      </c>
      <c r="F21" s="13">
        <f t="shared" si="4"/>
        <v>0.0005714982588</v>
      </c>
      <c r="G21" s="10">
        <v>0.19</v>
      </c>
      <c r="H21" s="11">
        <v>0.823</v>
      </c>
      <c r="I21" s="12">
        <f t="shared" si="5"/>
        <v>0.08214024486</v>
      </c>
      <c r="J21" s="10">
        <f t="shared" si="6"/>
        <v>0.1915037771</v>
      </c>
      <c r="K21" s="12">
        <f t="shared" si="7"/>
        <v>0.007883460145</v>
      </c>
      <c r="L21" s="13">
        <f t="shared" si="8"/>
        <v>0.00006214894386</v>
      </c>
      <c r="M21" s="10">
        <v>0.115</v>
      </c>
      <c r="N21" s="11">
        <v>0.432</v>
      </c>
      <c r="O21" s="12">
        <f t="shared" si="9"/>
        <v>0.04311614311</v>
      </c>
      <c r="P21" s="10">
        <f t="shared" si="10"/>
        <v>0.1198022331</v>
      </c>
      <c r="Q21" s="12">
        <f t="shared" si="11"/>
        <v>0.04091019763</v>
      </c>
      <c r="R21" s="13">
        <f t="shared" si="12"/>
        <v>0.00167364427</v>
      </c>
    </row>
    <row r="22" ht="15.75" customHeight="1">
      <c r="A22" s="10">
        <v>0.345</v>
      </c>
      <c r="B22" s="11">
        <v>1.617</v>
      </c>
      <c r="C22" s="12">
        <f t="shared" si="1"/>
        <v>0.161386119</v>
      </c>
      <c r="D22" s="10">
        <f t="shared" si="2"/>
        <v>0.3566119835</v>
      </c>
      <c r="E22" s="12">
        <f t="shared" si="3"/>
        <v>0.0331038928</v>
      </c>
      <c r="F22" s="13">
        <f t="shared" si="4"/>
        <v>0.001095867719</v>
      </c>
      <c r="G22" s="10">
        <v>0.28</v>
      </c>
      <c r="H22" s="11">
        <v>1.133</v>
      </c>
      <c r="I22" s="12">
        <f t="shared" si="5"/>
        <v>0.1130800698</v>
      </c>
      <c r="J22" s="10">
        <f t="shared" si="6"/>
        <v>0.2839707834</v>
      </c>
      <c r="K22" s="12">
        <f t="shared" si="7"/>
        <v>0.01408175424</v>
      </c>
      <c r="L22" s="13">
        <f t="shared" si="8"/>
        <v>0.0001982958026</v>
      </c>
      <c r="M22" s="10">
        <v>0.165</v>
      </c>
      <c r="N22" s="11">
        <v>0.59</v>
      </c>
      <c r="O22" s="12">
        <f t="shared" si="9"/>
        <v>0.05888547323</v>
      </c>
      <c r="P22" s="10">
        <f t="shared" si="10"/>
        <v>0.1696171176</v>
      </c>
      <c r="Q22" s="12">
        <f t="shared" si="11"/>
        <v>0.02759817347</v>
      </c>
      <c r="R22" s="13">
        <f t="shared" si="12"/>
        <v>0.0007616591788</v>
      </c>
    </row>
    <row r="23" ht="15.75" customHeight="1">
      <c r="A23" s="10">
        <v>0.425</v>
      </c>
      <c r="B23" s="11">
        <v>1.83</v>
      </c>
      <c r="C23" s="12">
        <f t="shared" si="1"/>
        <v>0.1826447729</v>
      </c>
      <c r="D23" s="10">
        <f t="shared" si="2"/>
        <v>0.4266760455</v>
      </c>
      <c r="E23" s="12">
        <f t="shared" si="3"/>
        <v>0.003935880619</v>
      </c>
      <c r="F23" s="13">
        <f t="shared" si="4"/>
        <v>0.00001549115625</v>
      </c>
      <c r="G23" s="10">
        <v>0.31</v>
      </c>
      <c r="H23" s="11">
        <v>1.232</v>
      </c>
      <c r="I23" s="12">
        <f t="shared" si="5"/>
        <v>0.1229608526</v>
      </c>
      <c r="J23" s="10">
        <f t="shared" si="6"/>
        <v>0.316370786</v>
      </c>
      <c r="K23" s="12">
        <f t="shared" si="7"/>
        <v>0.02034260153</v>
      </c>
      <c r="L23" s="13">
        <f t="shared" si="8"/>
        <v>0.0004138214368</v>
      </c>
      <c r="M23" s="10">
        <v>0.24</v>
      </c>
      <c r="N23" s="11">
        <v>0.731</v>
      </c>
      <c r="O23" s="12">
        <f t="shared" si="9"/>
        <v>0.07295810327</v>
      </c>
      <c r="P23" s="10">
        <f t="shared" si="10"/>
        <v>0.2171260746</v>
      </c>
      <c r="Q23" s="12">
        <f t="shared" si="11"/>
        <v>-0.1001607494</v>
      </c>
      <c r="R23" s="13">
        <f t="shared" si="12"/>
        <v>0.01003217572</v>
      </c>
    </row>
    <row r="24" ht="15.75" customHeight="1">
      <c r="A24" s="10">
        <v>0.631</v>
      </c>
      <c r="B24" s="11">
        <v>2.357</v>
      </c>
      <c r="C24" s="12">
        <f t="shared" si="1"/>
        <v>0.2352424753</v>
      </c>
      <c r="D24" s="10">
        <f t="shared" si="2"/>
        <v>0.6347405855</v>
      </c>
      <c r="E24" s="12">
        <f t="shared" si="3"/>
        <v>0.005910526167</v>
      </c>
      <c r="F24" s="13">
        <f t="shared" si="4"/>
        <v>0.00003493431957</v>
      </c>
      <c r="G24" s="10">
        <v>0.35</v>
      </c>
      <c r="H24" s="11">
        <v>1.36</v>
      </c>
      <c r="I24" s="12">
        <f t="shared" si="5"/>
        <v>0.1357360061</v>
      </c>
      <c r="J24" s="10">
        <f t="shared" si="6"/>
        <v>0.3605221624</v>
      </c>
      <c r="K24" s="12">
        <f t="shared" si="7"/>
        <v>0.02962027719</v>
      </c>
      <c r="L24" s="13">
        <f t="shared" si="8"/>
        <v>0.0008773608211</v>
      </c>
      <c r="M24" s="10">
        <v>0.34</v>
      </c>
      <c r="N24" s="11">
        <v>1.009</v>
      </c>
      <c r="O24" s="12">
        <f t="shared" si="9"/>
        <v>0.1007041398</v>
      </c>
      <c r="P24" s="10">
        <f t="shared" si="10"/>
        <v>0.3200951884</v>
      </c>
      <c r="Q24" s="12">
        <f t="shared" si="11"/>
        <v>-0.06032720226</v>
      </c>
      <c r="R24" s="13">
        <f t="shared" si="12"/>
        <v>0.003639371333</v>
      </c>
    </row>
    <row r="25" ht="15.75" customHeight="1">
      <c r="A25" s="10">
        <v>0.819</v>
      </c>
      <c r="B25" s="11">
        <v>2.726</v>
      </c>
      <c r="C25" s="12">
        <f t="shared" si="1"/>
        <v>0.2720708475</v>
      </c>
      <c r="D25" s="10">
        <f t="shared" si="2"/>
        <v>0.8169676988</v>
      </c>
      <c r="E25" s="12">
        <f t="shared" si="3"/>
        <v>-0.002484526174</v>
      </c>
      <c r="F25" s="13">
        <f t="shared" si="4"/>
        <v>0.000006172870307</v>
      </c>
      <c r="G25" s="10">
        <v>0.445</v>
      </c>
      <c r="H25" s="11">
        <v>1.618</v>
      </c>
      <c r="I25" s="12">
        <f t="shared" si="5"/>
        <v>0.1614859249</v>
      </c>
      <c r="J25" s="10">
        <f t="shared" si="6"/>
        <v>0.4579661971</v>
      </c>
      <c r="K25" s="12">
        <f t="shared" si="7"/>
        <v>0.02872109379</v>
      </c>
      <c r="L25" s="13">
        <f t="shared" si="8"/>
        <v>0.0008249012284</v>
      </c>
      <c r="M25" s="10">
        <v>0.34</v>
      </c>
      <c r="N25" s="11">
        <v>1.009</v>
      </c>
      <c r="O25" s="12">
        <f t="shared" si="9"/>
        <v>0.1007041398</v>
      </c>
      <c r="P25" s="10">
        <f t="shared" si="10"/>
        <v>0.3200951884</v>
      </c>
      <c r="Q25" s="12">
        <f t="shared" si="11"/>
        <v>-0.06032720226</v>
      </c>
      <c r="R25" s="13">
        <f t="shared" si="12"/>
        <v>0.003639371333</v>
      </c>
    </row>
    <row r="26" ht="15.75" customHeight="1">
      <c r="A26" s="10">
        <v>1.07</v>
      </c>
      <c r="B26" s="11">
        <v>3.06</v>
      </c>
      <c r="C26" s="12">
        <f t="shared" si="1"/>
        <v>0.3054060137</v>
      </c>
      <c r="D26" s="10">
        <f t="shared" si="2"/>
        <v>1.015103319</v>
      </c>
      <c r="E26" s="12">
        <f t="shared" si="3"/>
        <v>-0.05266824892</v>
      </c>
      <c r="F26" s="13">
        <f t="shared" si="4"/>
        <v>0.002773944444</v>
      </c>
      <c r="G26" s="10">
        <v>0.585</v>
      </c>
      <c r="H26" s="11">
        <v>1.931</v>
      </c>
      <c r="I26" s="12">
        <f t="shared" si="5"/>
        <v>0.1927251675</v>
      </c>
      <c r="J26" s="10">
        <f t="shared" si="6"/>
        <v>0.5934220752</v>
      </c>
      <c r="K26" s="12">
        <f t="shared" si="7"/>
        <v>0.01429406122</v>
      </c>
      <c r="L26" s="13">
        <f t="shared" si="8"/>
        <v>0.0002043201862</v>
      </c>
      <c r="M26" s="10">
        <v>0.4</v>
      </c>
      <c r="N26" s="11">
        <v>1.193</v>
      </c>
      <c r="O26" s="12">
        <f t="shared" si="9"/>
        <v>0.119068423</v>
      </c>
      <c r="P26" s="10">
        <f t="shared" si="10"/>
        <v>0.3957700416</v>
      </c>
      <c r="Q26" s="12">
        <f t="shared" si="11"/>
        <v>-0.01063120753</v>
      </c>
      <c r="R26" s="13">
        <f t="shared" si="12"/>
        <v>0.0001130225736</v>
      </c>
    </row>
    <row r="27" ht="15.75" customHeight="1">
      <c r="A27" s="10">
        <v>1.18</v>
      </c>
      <c r="B27" s="11">
        <v>3.26</v>
      </c>
      <c r="C27" s="12">
        <f t="shared" si="1"/>
        <v>0.3253671911</v>
      </c>
      <c r="D27" s="10">
        <f t="shared" si="2"/>
        <v>1.151978835</v>
      </c>
      <c r="E27" s="12">
        <f t="shared" si="3"/>
        <v>-0.02403324899</v>
      </c>
      <c r="F27" s="13">
        <f t="shared" si="4"/>
        <v>0.000577597057</v>
      </c>
      <c r="G27" s="10">
        <v>0.585</v>
      </c>
      <c r="H27" s="11">
        <v>1.932</v>
      </c>
      <c r="I27" s="12">
        <f t="shared" si="5"/>
        <v>0.1928249734</v>
      </c>
      <c r="J27" s="10">
        <f t="shared" si="6"/>
        <v>0.5938884651</v>
      </c>
      <c r="K27" s="12">
        <f t="shared" si="7"/>
        <v>0.01507968538</v>
      </c>
      <c r="L27" s="13">
        <f t="shared" si="8"/>
        <v>0.0002273969112</v>
      </c>
      <c r="M27" s="10">
        <v>0.51</v>
      </c>
      <c r="N27" s="11">
        <v>1.423</v>
      </c>
      <c r="O27" s="12">
        <f t="shared" si="9"/>
        <v>0.142023777</v>
      </c>
      <c r="P27" s="10">
        <f t="shared" si="10"/>
        <v>0.4998649739</v>
      </c>
      <c r="Q27" s="12">
        <f t="shared" si="11"/>
        <v>-0.02007271592</v>
      </c>
      <c r="R27" s="13">
        <f t="shared" si="12"/>
        <v>0.0004029139243</v>
      </c>
    </row>
    <row r="28" ht="15.75" customHeight="1">
      <c r="A28" s="10">
        <v>1.41</v>
      </c>
      <c r="B28" s="11">
        <v>3.53</v>
      </c>
      <c r="C28" s="12">
        <f t="shared" si="1"/>
        <v>0.3523147805</v>
      </c>
      <c r="D28" s="10">
        <f t="shared" si="2"/>
        <v>1.362572549</v>
      </c>
      <c r="E28" s="12">
        <f t="shared" si="3"/>
        <v>-0.03421521101</v>
      </c>
      <c r="F28" s="13">
        <f t="shared" si="4"/>
        <v>0.001170680664</v>
      </c>
      <c r="G28" s="10">
        <v>0.695</v>
      </c>
      <c r="H28" s="11">
        <v>2.154</v>
      </c>
      <c r="I28" s="12">
        <f t="shared" si="5"/>
        <v>0.2149818802</v>
      </c>
      <c r="J28" s="10">
        <f t="shared" si="6"/>
        <v>0.7032901866</v>
      </c>
      <c r="K28" s="12">
        <f t="shared" si="7"/>
        <v>0.01185774426</v>
      </c>
      <c r="L28" s="13">
        <f t="shared" si="8"/>
        <v>0.0001406060989</v>
      </c>
      <c r="M28" s="10">
        <v>0.505</v>
      </c>
      <c r="N28" s="11">
        <v>1.395</v>
      </c>
      <c r="O28" s="12">
        <f t="shared" si="9"/>
        <v>0.1392292121</v>
      </c>
      <c r="P28" s="10">
        <f t="shared" si="10"/>
        <v>0.4865887466</v>
      </c>
      <c r="Q28" s="12">
        <f t="shared" si="11"/>
        <v>-0.0371391258</v>
      </c>
      <c r="R28" s="13">
        <f t="shared" si="12"/>
        <v>0.001379314665</v>
      </c>
    </row>
    <row r="29" ht="15.75" customHeight="1">
      <c r="A29" s="10">
        <v>1.72</v>
      </c>
      <c r="B29" s="11">
        <v>3.834</v>
      </c>
      <c r="C29" s="12">
        <f t="shared" si="1"/>
        <v>0.3826557701</v>
      </c>
      <c r="D29" s="10">
        <f t="shared" si="2"/>
        <v>1.642039454</v>
      </c>
      <c r="E29" s="12">
        <f t="shared" si="3"/>
        <v>-0.04638525195</v>
      </c>
      <c r="F29" s="13">
        <f t="shared" si="4"/>
        <v>0.002151591598</v>
      </c>
      <c r="G29" s="10">
        <v>0.78</v>
      </c>
      <c r="H29" s="11">
        <v>2.342</v>
      </c>
      <c r="I29" s="12">
        <f t="shared" si="5"/>
        <v>0.233745387</v>
      </c>
      <c r="J29" s="10">
        <f t="shared" si="6"/>
        <v>0.8058241997</v>
      </c>
      <c r="K29" s="12">
        <f t="shared" si="7"/>
        <v>0.0325716845</v>
      </c>
      <c r="L29" s="13">
        <f t="shared" si="8"/>
        <v>0.001060914631</v>
      </c>
      <c r="M29" s="10">
        <v>0.635</v>
      </c>
      <c r="N29" s="11">
        <v>1.653</v>
      </c>
      <c r="O29" s="12">
        <f t="shared" si="9"/>
        <v>0.1649791309</v>
      </c>
      <c r="P29" s="10">
        <f t="shared" si="10"/>
        <v>0.6158002071</v>
      </c>
      <c r="Q29" s="12">
        <f t="shared" si="11"/>
        <v>-0.03070242709</v>
      </c>
      <c r="R29" s="13">
        <f t="shared" si="12"/>
        <v>0.0009426390289</v>
      </c>
    </row>
    <row r="30" ht="15.75" customHeight="1">
      <c r="A30" s="10">
        <v>1.89</v>
      </c>
      <c r="B30" s="11">
        <v>3.991</v>
      </c>
      <c r="C30" s="12">
        <f t="shared" si="1"/>
        <v>0.3983252943</v>
      </c>
      <c r="D30" s="10">
        <f t="shared" si="2"/>
        <v>1.807198035</v>
      </c>
      <c r="E30" s="12">
        <f t="shared" si="3"/>
        <v>-0.04479923033</v>
      </c>
      <c r="F30" s="13">
        <f t="shared" si="4"/>
        <v>0.002006971038</v>
      </c>
      <c r="G30" s="10">
        <v>0.875</v>
      </c>
      <c r="H30" s="11">
        <v>2.466</v>
      </c>
      <c r="I30" s="12">
        <f t="shared" si="5"/>
        <v>0.2461213169</v>
      </c>
      <c r="J30" s="10">
        <f t="shared" si="6"/>
        <v>0.8789589125</v>
      </c>
      <c r="K30" s="12">
        <f t="shared" si="7"/>
        <v>0.004514266777</v>
      </c>
      <c r="L30" s="13">
        <f t="shared" si="8"/>
        <v>0.00002037860453</v>
      </c>
      <c r="M30" s="10">
        <v>0.78</v>
      </c>
      <c r="N30" s="11">
        <v>1.929</v>
      </c>
      <c r="O30" s="12">
        <f t="shared" si="9"/>
        <v>0.1925255557</v>
      </c>
      <c r="P30" s="10">
        <f t="shared" si="10"/>
        <v>0.7727958834</v>
      </c>
      <c r="Q30" s="12">
        <f t="shared" si="11"/>
        <v>-0.009278963616</v>
      </c>
      <c r="R30" s="13">
        <f t="shared" si="12"/>
        <v>0.00008609916578</v>
      </c>
    </row>
    <row r="31" ht="15.75" customHeight="1">
      <c r="A31" s="10">
        <v>2.175</v>
      </c>
      <c r="B31" s="11">
        <v>4.198</v>
      </c>
      <c r="C31" s="12">
        <f t="shared" si="1"/>
        <v>0.4189851129</v>
      </c>
      <c r="D31" s="10">
        <f t="shared" si="2"/>
        <v>2.050430048</v>
      </c>
      <c r="E31" s="12">
        <f t="shared" si="3"/>
        <v>-0.05897911369</v>
      </c>
      <c r="F31" s="13">
        <f t="shared" si="4"/>
        <v>0.003478535852</v>
      </c>
      <c r="G31" s="10">
        <v>1.11</v>
      </c>
      <c r="H31" s="11">
        <v>2.792</v>
      </c>
      <c r="I31" s="12">
        <f t="shared" si="5"/>
        <v>0.278658036</v>
      </c>
      <c r="J31" s="10">
        <f t="shared" si="6"/>
        <v>1.09497795</v>
      </c>
      <c r="K31" s="12">
        <f t="shared" si="7"/>
        <v>-0.01362578914</v>
      </c>
      <c r="L31" s="13">
        <f t="shared" si="8"/>
        <v>0.0001856621296</v>
      </c>
      <c r="M31" s="10">
        <v>0.865</v>
      </c>
      <c r="N31" s="11">
        <v>2.077</v>
      </c>
      <c r="O31" s="12">
        <f t="shared" si="9"/>
        <v>0.207296827</v>
      </c>
      <c r="P31" s="10">
        <f t="shared" si="10"/>
        <v>0.8660481598</v>
      </c>
      <c r="Q31" s="12">
        <f t="shared" si="11"/>
        <v>0.001211011855</v>
      </c>
      <c r="R31" s="13">
        <f t="shared" si="12"/>
        <v>0.000001466549714</v>
      </c>
    </row>
    <row r="32" ht="15.75" customHeight="1">
      <c r="A32" s="10">
        <v>2.61</v>
      </c>
      <c r="B32" s="11">
        <v>4.506</v>
      </c>
      <c r="C32" s="12">
        <f t="shared" si="1"/>
        <v>0.4497253261</v>
      </c>
      <c r="D32" s="10">
        <f t="shared" si="2"/>
        <v>2.475964885</v>
      </c>
      <c r="E32" s="12">
        <f t="shared" si="3"/>
        <v>-0.05272004896</v>
      </c>
      <c r="F32" s="13">
        <f t="shared" si="4"/>
        <v>0.002779403563</v>
      </c>
      <c r="G32" s="10">
        <v>1.48</v>
      </c>
      <c r="H32" s="11">
        <v>3.201</v>
      </c>
      <c r="I32" s="12">
        <f t="shared" si="5"/>
        <v>0.3194786437</v>
      </c>
      <c r="J32" s="10">
        <f t="shared" si="6"/>
        <v>1.42426831</v>
      </c>
      <c r="K32" s="12">
        <f t="shared" si="7"/>
        <v>-0.03838387288</v>
      </c>
      <c r="L32" s="13">
        <f t="shared" si="8"/>
        <v>0.001473321697</v>
      </c>
      <c r="M32" s="10">
        <v>0.955</v>
      </c>
      <c r="N32" s="11">
        <v>2.211</v>
      </c>
      <c r="O32" s="12">
        <f t="shared" si="9"/>
        <v>0.2206708158</v>
      </c>
      <c r="P32" s="10">
        <f t="shared" si="10"/>
        <v>0.9565450399</v>
      </c>
      <c r="Q32" s="12">
        <f t="shared" si="11"/>
        <v>0.001616535571</v>
      </c>
      <c r="R32" s="13">
        <f t="shared" si="12"/>
        <v>0.000002613187253</v>
      </c>
    </row>
    <row r="33" ht="15.75" customHeight="1">
      <c r="A33" s="10">
        <v>2.985</v>
      </c>
      <c r="B33" s="11">
        <v>4.75</v>
      </c>
      <c r="C33" s="12">
        <f t="shared" si="1"/>
        <v>0.4740779625</v>
      </c>
      <c r="D33" s="10">
        <f t="shared" si="2"/>
        <v>2.87898988</v>
      </c>
      <c r="E33" s="12">
        <f t="shared" si="3"/>
        <v>-0.03616025044</v>
      </c>
      <c r="F33" s="13">
        <f t="shared" si="4"/>
        <v>0.001307563712</v>
      </c>
      <c r="G33" s="10">
        <v>1.7</v>
      </c>
      <c r="H33" s="11">
        <v>3.409</v>
      </c>
      <c r="I33" s="12">
        <f t="shared" si="5"/>
        <v>0.3402382682</v>
      </c>
      <c r="J33" s="10">
        <f t="shared" si="6"/>
        <v>1.62212844</v>
      </c>
      <c r="K33" s="12">
        <f t="shared" si="7"/>
        <v>-0.04688911242</v>
      </c>
      <c r="L33" s="13">
        <f t="shared" si="8"/>
        <v>0.002198588864</v>
      </c>
      <c r="M33" s="10">
        <v>1.185</v>
      </c>
      <c r="N33" s="11">
        <v>2.545</v>
      </c>
      <c r="O33" s="12">
        <f t="shared" si="9"/>
        <v>0.254005982</v>
      </c>
      <c r="P33" s="10">
        <f t="shared" si="10"/>
        <v>1.210432201</v>
      </c>
      <c r="Q33" s="12">
        <f t="shared" si="11"/>
        <v>0.02123471229</v>
      </c>
      <c r="R33" s="13">
        <f t="shared" si="12"/>
        <v>0.0004509130059</v>
      </c>
    </row>
    <row r="34" ht="15.75" customHeight="1">
      <c r="A34" s="10">
        <v>3.365</v>
      </c>
      <c r="B34" s="11">
        <v>4.987</v>
      </c>
      <c r="C34" s="12">
        <f t="shared" si="1"/>
        <v>0.4977319576</v>
      </c>
      <c r="D34" s="10">
        <f t="shared" si="2"/>
        <v>3.33955874</v>
      </c>
      <c r="E34" s="12">
        <f t="shared" si="3"/>
        <v>-0.00758927867</v>
      </c>
      <c r="F34" s="13">
        <f t="shared" si="4"/>
        <v>0.00005759715073</v>
      </c>
      <c r="G34" s="10">
        <v>1.79</v>
      </c>
      <c r="H34" s="11">
        <v>3.48</v>
      </c>
      <c r="I34" s="12">
        <f t="shared" si="5"/>
        <v>0.3473244862</v>
      </c>
      <c r="J34" s="10">
        <f t="shared" si="6"/>
        <v>1.695113775</v>
      </c>
      <c r="K34" s="12">
        <f t="shared" si="7"/>
        <v>-0.05446575745</v>
      </c>
      <c r="L34" s="13">
        <f t="shared" si="8"/>
        <v>0.002966518734</v>
      </c>
      <c r="M34" s="10">
        <v>1.495</v>
      </c>
      <c r="N34" s="11">
        <v>2.89</v>
      </c>
      <c r="O34" s="12">
        <f t="shared" si="9"/>
        <v>0.2884390129</v>
      </c>
      <c r="P34" s="10">
        <f t="shared" si="10"/>
        <v>1.522713092</v>
      </c>
      <c r="Q34" s="12">
        <f t="shared" si="11"/>
        <v>0.01836746612</v>
      </c>
      <c r="R34" s="13">
        <f t="shared" si="12"/>
        <v>0.0003373638117</v>
      </c>
    </row>
    <row r="35" ht="15.75" customHeight="1">
      <c r="A35" s="10">
        <v>3.56</v>
      </c>
      <c r="B35" s="11">
        <v>5.103</v>
      </c>
      <c r="C35" s="12">
        <f t="shared" si="1"/>
        <v>0.5093094405</v>
      </c>
      <c r="D35" s="10">
        <f t="shared" si="2"/>
        <v>3.594340686</v>
      </c>
      <c r="E35" s="12">
        <f t="shared" si="3"/>
        <v>0.00960003204</v>
      </c>
      <c r="F35" s="13">
        <f t="shared" si="4"/>
        <v>0.00009216061516</v>
      </c>
      <c r="G35" s="10">
        <v>2.17</v>
      </c>
      <c r="H35" s="11">
        <v>3.781</v>
      </c>
      <c r="I35" s="12">
        <f t="shared" si="5"/>
        <v>0.3773660581</v>
      </c>
      <c r="J35" s="10">
        <f t="shared" si="6"/>
        <v>2.039701823</v>
      </c>
      <c r="K35" s="12">
        <f t="shared" si="7"/>
        <v>-0.06192353546</v>
      </c>
      <c r="L35" s="13">
        <f t="shared" si="8"/>
        <v>0.003834524244</v>
      </c>
      <c r="M35" s="10">
        <v>1.695</v>
      </c>
      <c r="N35" s="11">
        <v>3.067</v>
      </c>
      <c r="O35" s="12">
        <f t="shared" si="9"/>
        <v>0.3061046549</v>
      </c>
      <c r="P35" s="10">
        <f t="shared" si="10"/>
        <v>1.70643728</v>
      </c>
      <c r="Q35" s="12">
        <f t="shared" si="11"/>
        <v>0.006724994194</v>
      </c>
      <c r="R35" s="13">
        <f t="shared" si="12"/>
        <v>0.0000452255469</v>
      </c>
    </row>
    <row r="36" ht="15.75" customHeight="1">
      <c r="A36" s="10">
        <v>3.745</v>
      </c>
      <c r="B36" s="11">
        <v>5.191</v>
      </c>
      <c r="C36" s="12">
        <f t="shared" si="1"/>
        <v>0.5180923585</v>
      </c>
      <c r="D36" s="10">
        <f t="shared" si="2"/>
        <v>3.802244313</v>
      </c>
      <c r="E36" s="12">
        <f t="shared" si="3"/>
        <v>0.01516988409</v>
      </c>
      <c r="F36" s="13">
        <f t="shared" si="4"/>
        <v>0.0002301253832</v>
      </c>
      <c r="G36" s="10">
        <v>2.53</v>
      </c>
      <c r="H36" s="11">
        <v>4.038</v>
      </c>
      <c r="I36" s="12">
        <f t="shared" si="5"/>
        <v>0.403016171</v>
      </c>
      <c r="J36" s="10">
        <f t="shared" si="6"/>
        <v>2.38623017</v>
      </c>
      <c r="K36" s="12">
        <f t="shared" si="7"/>
        <v>-0.05850451672</v>
      </c>
      <c r="L36" s="13">
        <f t="shared" si="8"/>
        <v>0.003422778477</v>
      </c>
      <c r="M36" s="10">
        <v>1.86</v>
      </c>
      <c r="N36" s="11">
        <v>3.169</v>
      </c>
      <c r="O36" s="12">
        <f t="shared" si="9"/>
        <v>0.3162848554</v>
      </c>
      <c r="P36" s="10">
        <f t="shared" si="10"/>
        <v>1.820565556</v>
      </c>
      <c r="Q36" s="12">
        <f t="shared" si="11"/>
        <v>-0.02142928962</v>
      </c>
      <c r="R36" s="13">
        <f t="shared" si="12"/>
        <v>0.0004592144536</v>
      </c>
    </row>
    <row r="37" ht="15.75" customHeight="1">
      <c r="A37" s="10">
        <v>3.745</v>
      </c>
      <c r="B37" s="11">
        <v>5.191</v>
      </c>
      <c r="C37" s="12">
        <f t="shared" si="1"/>
        <v>0.5180923585</v>
      </c>
      <c r="D37" s="10">
        <f t="shared" si="2"/>
        <v>3.802244313</v>
      </c>
      <c r="E37" s="12">
        <f t="shared" si="3"/>
        <v>0.01516988409</v>
      </c>
      <c r="F37" s="13">
        <f t="shared" si="4"/>
        <v>0.0002301253832</v>
      </c>
      <c r="G37" s="10">
        <v>2.535</v>
      </c>
      <c r="H37" s="11">
        <v>4.034</v>
      </c>
      <c r="I37" s="12">
        <f t="shared" si="5"/>
        <v>0.4026169475</v>
      </c>
      <c r="J37" s="10">
        <f t="shared" si="6"/>
        <v>2.380415962</v>
      </c>
      <c r="K37" s="12">
        <f t="shared" si="7"/>
        <v>-0.06291839057</v>
      </c>
      <c r="L37" s="13">
        <f t="shared" si="8"/>
        <v>0.003958723872</v>
      </c>
      <c r="M37" s="10">
        <v>2.425</v>
      </c>
      <c r="N37" s="11">
        <v>3.577</v>
      </c>
      <c r="O37" s="12">
        <f t="shared" si="9"/>
        <v>0.3570056572</v>
      </c>
      <c r="P37" s="10">
        <f t="shared" si="10"/>
        <v>2.347386262</v>
      </c>
      <c r="Q37" s="12">
        <f t="shared" si="11"/>
        <v>-0.032529044</v>
      </c>
      <c r="R37" s="13">
        <f t="shared" si="12"/>
        <v>0.001058138704</v>
      </c>
    </row>
    <row r="38" ht="15.75" customHeight="1">
      <c r="A38" s="10">
        <v>4.26</v>
      </c>
      <c r="B38" s="11">
        <v>5.469</v>
      </c>
      <c r="C38" s="12">
        <f t="shared" si="1"/>
        <v>0.5458383951</v>
      </c>
      <c r="D38" s="10">
        <f t="shared" si="2"/>
        <v>4.55508703</v>
      </c>
      <c r="E38" s="12">
        <f t="shared" si="3"/>
        <v>0.06697547666</v>
      </c>
      <c r="F38" s="13">
        <f t="shared" si="4"/>
        <v>0.004485714474</v>
      </c>
      <c r="G38" s="10">
        <v>2.84</v>
      </c>
      <c r="H38" s="11">
        <v>4.236</v>
      </c>
      <c r="I38" s="12">
        <f t="shared" si="5"/>
        <v>0.4227777366</v>
      </c>
      <c r="J38" s="10">
        <f t="shared" si="6"/>
        <v>2.692637926</v>
      </c>
      <c r="K38" s="12">
        <f t="shared" si="7"/>
        <v>-0.05328269759</v>
      </c>
      <c r="L38" s="13">
        <f t="shared" si="8"/>
        <v>0.002839045863</v>
      </c>
      <c r="M38" s="10">
        <v>2.57</v>
      </c>
      <c r="N38" s="11">
        <v>3.67</v>
      </c>
      <c r="O38" s="12">
        <f t="shared" si="9"/>
        <v>0.3662876047</v>
      </c>
      <c r="P38" s="10">
        <f t="shared" si="10"/>
        <v>2.485502793</v>
      </c>
      <c r="Q38" s="12">
        <f t="shared" si="11"/>
        <v>-0.03343092852</v>
      </c>
      <c r="R38" s="13">
        <f t="shared" si="12"/>
        <v>0.001117626982</v>
      </c>
    </row>
    <row r="39" ht="15.75" customHeight="1">
      <c r="A39" s="10">
        <v>4.725</v>
      </c>
      <c r="B39" s="11">
        <v>5.719</v>
      </c>
      <c r="C39" s="12">
        <f t="shared" si="1"/>
        <v>0.5707898668</v>
      </c>
      <c r="D39" s="10">
        <f t="shared" si="2"/>
        <v>5.383696013</v>
      </c>
      <c r="E39" s="12">
        <f t="shared" si="3"/>
        <v>0.1305075687</v>
      </c>
      <c r="F39" s="13">
        <f t="shared" si="4"/>
        <v>0.01703222549</v>
      </c>
      <c r="G39" s="10">
        <v>3.64</v>
      </c>
      <c r="H39" s="11">
        <v>4.702</v>
      </c>
      <c r="I39" s="12">
        <f t="shared" si="5"/>
        <v>0.4692872799</v>
      </c>
      <c r="J39" s="10">
        <f t="shared" si="6"/>
        <v>3.585530555</v>
      </c>
      <c r="K39" s="12">
        <f t="shared" si="7"/>
        <v>-0.01507722558</v>
      </c>
      <c r="L39" s="13">
        <f t="shared" si="8"/>
        <v>0.0002273227313</v>
      </c>
      <c r="M39" s="10">
        <v>3.015</v>
      </c>
      <c r="N39" s="11">
        <v>3.933</v>
      </c>
      <c r="O39" s="12">
        <f t="shared" si="9"/>
        <v>0.3925365529</v>
      </c>
      <c r="P39" s="10">
        <f t="shared" si="10"/>
        <v>2.919300333</v>
      </c>
      <c r="Q39" s="12">
        <f t="shared" si="11"/>
        <v>-0.03225585444</v>
      </c>
      <c r="R39" s="13">
        <f t="shared" si="12"/>
        <v>0.001040440146</v>
      </c>
    </row>
    <row r="40" ht="15.75" customHeight="1">
      <c r="G40" s="10">
        <v>4.015</v>
      </c>
      <c r="H40" s="11">
        <v>4.884</v>
      </c>
      <c r="I40" s="12">
        <f t="shared" si="5"/>
        <v>0.4874519513</v>
      </c>
      <c r="J40" s="10">
        <f t="shared" si="6"/>
        <v>4.016220382</v>
      </c>
      <c r="K40" s="12">
        <f t="shared" si="7"/>
        <v>0.0003039095441</v>
      </c>
      <c r="L40" s="13">
        <f t="shared" si="8"/>
        <v>0.00000009236101102</v>
      </c>
      <c r="M40" s="10">
        <v>3.425</v>
      </c>
      <c r="N40" s="11">
        <v>4.199</v>
      </c>
      <c r="O40" s="12">
        <f t="shared" si="9"/>
        <v>0.4190849188</v>
      </c>
      <c r="P40" s="10">
        <f t="shared" si="10"/>
        <v>3.433609033</v>
      </c>
      <c r="Q40" s="12">
        <f t="shared" si="11"/>
        <v>0.002510432581</v>
      </c>
      <c r="R40" s="13">
        <f t="shared" si="12"/>
        <v>0.000006302271742</v>
      </c>
    </row>
    <row r="41" ht="15.75" customHeight="1">
      <c r="G41" s="10">
        <v>4.49</v>
      </c>
      <c r="H41" s="11">
        <v>5.127</v>
      </c>
      <c r="I41" s="12">
        <f t="shared" si="5"/>
        <v>0.5117047818</v>
      </c>
      <c r="J41" s="10">
        <f t="shared" si="6"/>
        <v>4.682941299</v>
      </c>
      <c r="K41" s="12">
        <f t="shared" si="7"/>
        <v>0.04207369343</v>
      </c>
      <c r="L41" s="13">
        <f t="shared" si="8"/>
        <v>0.001770195679</v>
      </c>
      <c r="M41" s="10">
        <v>3.425</v>
      </c>
      <c r="N41" s="11">
        <v>4.2</v>
      </c>
      <c r="O41" s="12">
        <f t="shared" si="9"/>
        <v>0.4191847247</v>
      </c>
      <c r="P41" s="10">
        <f t="shared" si="10"/>
        <v>3.435705587</v>
      </c>
      <c r="Q41" s="12">
        <f t="shared" si="11"/>
        <v>0.003120843853</v>
      </c>
      <c r="R41" s="13">
        <f t="shared" si="12"/>
        <v>0.000009739666354</v>
      </c>
    </row>
    <row r="42" ht="15.75" customHeight="1">
      <c r="G42" s="10">
        <v>4.72</v>
      </c>
      <c r="H42" s="11">
        <v>5.234</v>
      </c>
      <c r="I42" s="12">
        <f t="shared" si="5"/>
        <v>0.5223840117</v>
      </c>
      <c r="J42" s="10">
        <f t="shared" si="6"/>
        <v>5.015303536</v>
      </c>
      <c r="K42" s="12">
        <f t="shared" si="7"/>
        <v>0.06068514558</v>
      </c>
      <c r="L42" s="13">
        <f t="shared" si="8"/>
        <v>0.003682686894</v>
      </c>
      <c r="M42" s="10">
        <v>3.67</v>
      </c>
      <c r="N42" s="11">
        <v>4.341</v>
      </c>
      <c r="O42" s="12">
        <f t="shared" si="9"/>
        <v>0.4332573547</v>
      </c>
      <c r="P42" s="10">
        <f t="shared" si="10"/>
        <v>3.744866773</v>
      </c>
      <c r="Q42" s="12">
        <f t="shared" si="11"/>
        <v>0.02019437958</v>
      </c>
      <c r="R42" s="13">
        <f t="shared" si="12"/>
        <v>0.0004078129667</v>
      </c>
    </row>
    <row r="43" ht="15.75" customHeight="1">
      <c r="M43" s="10">
        <v>4.18</v>
      </c>
      <c r="N43" s="11">
        <v>4.585</v>
      </c>
      <c r="O43" s="12">
        <f t="shared" si="9"/>
        <v>0.4576099911</v>
      </c>
      <c r="P43" s="10">
        <f t="shared" si="10"/>
        <v>4.350247163</v>
      </c>
      <c r="Q43" s="12">
        <f t="shared" si="11"/>
        <v>0.03992141609</v>
      </c>
      <c r="R43" s="13">
        <f t="shared" si="12"/>
        <v>0.001593719463</v>
      </c>
    </row>
    <row r="44" ht="15.75" customHeight="1">
      <c r="M44" s="10">
        <v>4.445</v>
      </c>
      <c r="N44" s="11">
        <v>4.706</v>
      </c>
      <c r="O44" s="12">
        <f t="shared" si="9"/>
        <v>0.4696865034</v>
      </c>
      <c r="P44" s="10">
        <f t="shared" si="10"/>
        <v>4.688291764</v>
      </c>
      <c r="Q44" s="12">
        <f t="shared" si="11"/>
        <v>0.05328841782</v>
      </c>
      <c r="R44" s="13">
        <f t="shared" si="12"/>
        <v>0.002839655474</v>
      </c>
    </row>
    <row r="45" ht="15.75" customHeight="1">
      <c r="M45" s="10">
        <v>4.745</v>
      </c>
      <c r="N45" s="11">
        <v>4.83</v>
      </c>
      <c r="O45" s="12">
        <f t="shared" si="9"/>
        <v>0.4820624334</v>
      </c>
      <c r="P45" s="10">
        <f t="shared" si="10"/>
        <v>5.064421931</v>
      </c>
      <c r="Q45" s="12">
        <f t="shared" si="11"/>
        <v>0.06514856909</v>
      </c>
      <c r="R45" s="13">
        <f t="shared" si="12"/>
        <v>0.004244336055</v>
      </c>
    </row>
    <row r="46" ht="15.75" customHeight="1"/>
    <row r="47" ht="15.75" customHeight="1">
      <c r="A47" s="5" t="s">
        <v>30</v>
      </c>
      <c r="B47" s="17">
        <f>SUM(F14:F39)</f>
        <v>0.07588260785</v>
      </c>
      <c r="G47" s="5" t="s">
        <v>31</v>
      </c>
      <c r="H47" s="17">
        <f>SUM(L14:L42)</f>
        <v>0.09675753385</v>
      </c>
      <c r="M47" s="5" t="s">
        <v>32</v>
      </c>
      <c r="N47" s="17">
        <f>SUM(R14:R45)</f>
        <v>0.1927595374</v>
      </c>
    </row>
    <row r="48" ht="15.75" customHeight="1"/>
    <row r="49" ht="15.75" customHeight="1">
      <c r="A49" s="4" t="s">
        <v>33</v>
      </c>
      <c r="B49" s="18">
        <f>B47+H47+N47</f>
        <v>0.3653996791</v>
      </c>
    </row>
    <row r="50" ht="15.75" customHeight="1">
      <c r="A50" s="5" t="s">
        <v>34</v>
      </c>
      <c r="B50" s="19">
        <v>0.99921</v>
      </c>
    </row>
    <row r="51" ht="15.75" customHeight="1"/>
    <row r="52" ht="15.75" customHeight="1">
      <c r="A52" s="4" t="s">
        <v>35</v>
      </c>
    </row>
    <row r="53" ht="15.75" customHeight="1">
      <c r="A53" s="9" t="s">
        <v>36</v>
      </c>
      <c r="B53" s="9" t="s">
        <v>37</v>
      </c>
      <c r="C53" s="9" t="s">
        <v>38</v>
      </c>
      <c r="D53" s="9" t="s">
        <v>39</v>
      </c>
    </row>
    <row r="54" ht="15.75" customHeight="1">
      <c r="A54" s="20">
        <v>298.0</v>
      </c>
      <c r="B54" s="12">
        <f>$B$8</f>
        <v>0.6626558</v>
      </c>
      <c r="C54" s="21">
        <f t="shared" ref="C54:C56" si="13">1/A54</f>
        <v>0.003355704698</v>
      </c>
      <c r="D54" s="10">
        <f t="shared" ref="D54:D56" si="14">LN(B54)</f>
        <v>-0.411499579</v>
      </c>
    </row>
    <row r="55" ht="15.75" customHeight="1">
      <c r="A55" s="20">
        <v>308.0</v>
      </c>
      <c r="B55" s="12">
        <f>$B$9</f>
        <v>0.51645324</v>
      </c>
      <c r="C55" s="21">
        <f t="shared" si="13"/>
        <v>0.003246753247</v>
      </c>
      <c r="D55" s="10">
        <f t="shared" si="14"/>
        <v>-0.660770527</v>
      </c>
    </row>
    <row r="56" ht="15.75" customHeight="1">
      <c r="A56" s="20">
        <v>323.0</v>
      </c>
      <c r="B56" s="12">
        <f>$B$10</f>
        <v>0.39595626</v>
      </c>
      <c r="C56" s="21">
        <f t="shared" si="13"/>
        <v>0.003095975232</v>
      </c>
      <c r="D56" s="10">
        <f t="shared" si="14"/>
        <v>-0.9264515284</v>
      </c>
    </row>
    <row r="57" ht="15.75" customHeight="1"/>
    <row r="58" ht="15.75" customHeight="1">
      <c r="A58" s="5" t="s">
        <v>41</v>
      </c>
      <c r="B58" s="24">
        <f>SLOPE(D54:D56,C54:C56)</f>
        <v>1969.017745</v>
      </c>
    </row>
    <row r="59" ht="15.75" customHeight="1">
      <c r="A59" s="5" t="s">
        <v>45</v>
      </c>
      <c r="B59" s="17">
        <f>RSQ(D54:D56,C54:C56)</f>
        <v>0.9944877476</v>
      </c>
    </row>
    <row r="60" ht="15.75" customHeight="1">
      <c r="A60" s="5" t="s">
        <v>48</v>
      </c>
      <c r="B60" s="19">
        <v>8.314</v>
      </c>
    </row>
    <row r="61" ht="15.75" customHeight="1">
      <c r="A61" s="4" t="s">
        <v>49</v>
      </c>
      <c r="B61" s="25">
        <f>-B58*B60/1000</f>
        <v>-16.37041353</v>
      </c>
      <c r="C61" s="3" t="s">
        <v>98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3:L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5" width="16.0"/>
    <col customWidth="1" min="6" max="6" width="12.0"/>
    <col customWidth="1" min="7" max="26" width="8.71"/>
  </cols>
  <sheetData>
    <row r="1" ht="21.75" customHeight="1">
      <c r="A1" s="1" t="s">
        <v>64</v>
      </c>
      <c r="B1" s="2"/>
      <c r="C1" s="2"/>
      <c r="D1" s="2"/>
      <c r="E1" s="2"/>
      <c r="F1" s="2"/>
    </row>
    <row r="2">
      <c r="A2" s="3" t="s">
        <v>65</v>
      </c>
    </row>
    <row r="4">
      <c r="A4" s="4" t="s">
        <v>66</v>
      </c>
    </row>
    <row r="5">
      <c r="A5" s="9" t="s">
        <v>67</v>
      </c>
      <c r="B5" s="9" t="s">
        <v>68</v>
      </c>
      <c r="C5" s="9" t="s">
        <v>69</v>
      </c>
      <c r="D5" s="9" t="s">
        <v>70</v>
      </c>
      <c r="E5" s="9" t="s">
        <v>44</v>
      </c>
      <c r="F5" s="9" t="s">
        <v>71</v>
      </c>
    </row>
    <row r="6">
      <c r="A6" s="20" t="s">
        <v>73</v>
      </c>
      <c r="B6" s="12">
        <v>2.630371783204405</v>
      </c>
      <c r="C6" s="27">
        <v>0.01449574832810266</v>
      </c>
      <c r="D6" s="12">
        <v>0.9482316126231539</v>
      </c>
      <c r="E6" s="12">
        <v>0.1185973402735008</v>
      </c>
      <c r="F6" s="12">
        <v>6.970790196519911</v>
      </c>
    </row>
    <row r="7">
      <c r="A7" s="20" t="s">
        <v>74</v>
      </c>
      <c r="B7" s="12">
        <v>2.971437478325235</v>
      </c>
      <c r="C7" s="27">
        <v>0.001368329679506421</v>
      </c>
      <c r="D7" s="12">
        <v>0.9978303721254094</v>
      </c>
      <c r="E7" s="12">
        <v>0.02310679220220973</v>
      </c>
      <c r="F7" s="12">
        <v>6.970230668088011</v>
      </c>
    </row>
    <row r="9">
      <c r="A9" s="4" t="s">
        <v>75</v>
      </c>
    </row>
    <row r="10">
      <c r="A10" s="9" t="s">
        <v>76</v>
      </c>
      <c r="B10" s="9" t="s">
        <v>77</v>
      </c>
      <c r="C10" s="9" t="s">
        <v>78</v>
      </c>
      <c r="D10" s="9" t="s">
        <v>79</v>
      </c>
      <c r="E10" s="9" t="s">
        <v>80</v>
      </c>
      <c r="F10" s="9" t="s">
        <v>81</v>
      </c>
      <c r="G10" s="9" t="s">
        <v>70</v>
      </c>
      <c r="H10" s="9" t="s">
        <v>82</v>
      </c>
    </row>
    <row r="11">
      <c r="A11" s="20" t="s">
        <v>83</v>
      </c>
      <c r="B11" s="12">
        <v>10.62082196564823</v>
      </c>
      <c r="C11" s="12">
        <v>0.244178204342878</v>
      </c>
      <c r="D11" s="12">
        <v>4655.118852858396</v>
      </c>
      <c r="E11" s="12">
        <v>2136.578997517474</v>
      </c>
      <c r="F11" s="12">
        <v>612.7112979610072</v>
      </c>
      <c r="G11" s="12">
        <v>0.9981103036769863</v>
      </c>
      <c r="H11" s="12">
        <v>-65.15615109214738</v>
      </c>
    </row>
    <row r="12">
      <c r="A12" s="20" t="s">
        <v>84</v>
      </c>
      <c r="B12" s="12">
        <v>10.0194490654589</v>
      </c>
      <c r="C12" s="12">
        <v>0.6114123549383266</v>
      </c>
      <c r="D12" s="12">
        <v>0.8509213734755234</v>
      </c>
      <c r="E12" s="12">
        <v>0.6665390723924375</v>
      </c>
      <c r="F12" s="12">
        <v>0.5206512779322011</v>
      </c>
      <c r="G12" s="12">
        <v>0.999444397712227</v>
      </c>
      <c r="H12" s="12">
        <v>-15.59467951276478</v>
      </c>
    </row>
    <row r="14">
      <c r="A14" s="4" t="s">
        <v>85</v>
      </c>
    </row>
    <row r="15">
      <c r="A15" s="9" t="s">
        <v>76</v>
      </c>
      <c r="B15" s="9" t="s">
        <v>77</v>
      </c>
      <c r="C15" s="9" t="s">
        <v>86</v>
      </c>
      <c r="D15" s="9" t="s">
        <v>79</v>
      </c>
      <c r="E15" s="9" t="s">
        <v>80</v>
      </c>
      <c r="F15" s="9" t="s">
        <v>81</v>
      </c>
      <c r="G15" s="9" t="s">
        <v>70</v>
      </c>
      <c r="H15" s="9" t="s">
        <v>82</v>
      </c>
    </row>
    <row r="16">
      <c r="A16" s="20" t="s">
        <v>83</v>
      </c>
      <c r="B16" s="12">
        <v>10.62082196564823</v>
      </c>
      <c r="C16" s="12">
        <v>6.079897759710191</v>
      </c>
      <c r="D16" s="12">
        <v>193.4091874332793</v>
      </c>
      <c r="E16" s="12">
        <v>80.54721529723672</v>
      </c>
      <c r="F16" s="12">
        <v>22.95992020015418</v>
      </c>
      <c r="G16" s="12">
        <v>0.9954016044231724</v>
      </c>
      <c r="H16" s="12">
        <v>-68.27689272141961</v>
      </c>
    </row>
    <row r="17">
      <c r="A17" s="20" t="s">
        <v>84</v>
      </c>
      <c r="B17" s="12">
        <v>10.0194490654589</v>
      </c>
      <c r="C17" s="12">
        <v>2.166695356092555</v>
      </c>
      <c r="D17" s="12">
        <v>0.6626557957782988</v>
      </c>
      <c r="E17" s="12">
        <v>0.5164532360759914</v>
      </c>
      <c r="F17" s="12">
        <v>0.3959562554374576</v>
      </c>
      <c r="G17" s="12">
        <v>0.9992147884938608</v>
      </c>
      <c r="H17" s="12">
        <v>-16.37041369852619</v>
      </c>
    </row>
    <row r="19">
      <c r="A19" s="3" t="s">
        <v>87</v>
      </c>
    </row>
    <row r="20">
      <c r="A20" s="3" t="s">
        <v>88</v>
      </c>
    </row>
    <row r="21" ht="15.75" customHeight="1">
      <c r="A21" s="3" t="s">
        <v>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H2"/>
    <mergeCell ref="A19:H19"/>
    <mergeCell ref="A20:H20"/>
    <mergeCell ref="A21:H21"/>
  </mergeCells>
  <printOptions/>
  <pageMargins bottom="1.0" footer="0.0" header="0.0" left="0.75" right="0.75" top="1.0"/>
  <pageSetup orientation="landscape"/>
  <drawing r:id="rId1"/>
</worksheet>
</file>